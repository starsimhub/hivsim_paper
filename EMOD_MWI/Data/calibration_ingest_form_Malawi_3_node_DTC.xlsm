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itrod01/Dropbox (NYU CEDS)/DTCitron_NYU/Projects/MWI_calib_20220323/Data/"/>
    </mc:Choice>
  </mc:AlternateContent>
  <xr:revisionPtr revIDLastSave="0" documentId="13_ncr:1_{C5DFDBF8-DAE2-CA47-88D9-EC3B4B1646EB}" xr6:coauthVersionLast="47" xr6:coauthVersionMax="47" xr10:uidLastSave="{00000000-0000-0000-0000-000000000000}"/>
  <bookViews>
    <workbookView xWindow="33720" yWindow="-1680" windowWidth="31100" windowHeight="19680" tabRatio="848" activeTab="5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Population" sheetId="14" r:id="rId9"/>
    <sheet name="Obs-OnART" sheetId="17" r:id="rId10"/>
    <sheet name="Obs-Incidence" sheetId="18" r:id="rId11"/>
    <sheet name="Obs-ARTCoverage" sheetId="19" r:id="rId12"/>
  </sheets>
  <functionGroups builtInGroupCount="19"/>
  <definedNames>
    <definedName name="additional_columns" localSheetId="11">'Obs-ARTCoverage'!$A$6:$L$6</definedName>
    <definedName name="additional_columns" localSheetId="10">'Obs-Incidence'!$A$6:$L$6</definedName>
    <definedName name="additional_columns" localSheetId="9">'Obs-OnART'!$A$6:$L$6</definedName>
    <definedName name="additional_columns" localSheetId="8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11">'Obs-ARTCoverage'!$B$1</definedName>
    <definedName name="channel_name" localSheetId="10">'Obs-Incidence'!$B$1</definedName>
    <definedName name="channel_name" localSheetId="9">'Obs-OnART'!$B$1</definedName>
    <definedName name="channel_name" localSheetId="8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11">'Obs-ARTCoverage'!$A$8:$G$1008</definedName>
    <definedName name="csv" localSheetId="10">'Obs-Incidence'!$A$8:$G$1008</definedName>
    <definedName name="csv" localSheetId="9">'Obs-OnART'!$A$8:$G$1007</definedName>
    <definedName name="csv" localSheetId="8">'Obs-Population'!$A$8:$G$993</definedName>
    <definedName name="csv" localSheetId="7">'Obs-Prevalence'!$A$8:$G$999</definedName>
    <definedName name="custom_age_bins" localSheetId="5">Analyzers!$F$7:$F$16</definedName>
    <definedName name="data_channels" localSheetId="11">'Obs-ARTCoverage'!$E$8</definedName>
    <definedName name="data_channels" localSheetId="10">'Obs-Incidence'!$E$8</definedName>
    <definedName name="data_channels" localSheetId="9">'Obs-OnART'!$E$8</definedName>
    <definedName name="data_channels" localSheetId="8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Parameters'!$B$2:$B$87</definedName>
    <definedName name="form_version" localSheetId="0">General!$G$1</definedName>
    <definedName name="gender_selection">Options!$D$2:$D$5</definedName>
    <definedName name="initial_value" localSheetId="2">'Model Parameters'!$C$2:$C$87</definedName>
    <definedName name="map_to" localSheetId="2">'Model Parameters'!$F$2:$F$87</definedName>
    <definedName name="max" localSheetId="2">'Model Parameters'!$E$2:$E$87</definedName>
    <definedName name="min" localSheetId="2">'Model Parameters'!$D$2:$D$87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Parameters'!$A$2:$A$87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11">'Obs-ARTCoverage'!$A$4:$L$4</definedName>
    <definedName name="stratifiers" localSheetId="10">'Obs-Incidence'!$A$4:$L$4</definedName>
    <definedName name="stratifiers" localSheetId="9">'Obs-OnART'!$A$4:$L$4</definedName>
    <definedName name="stratifiers" localSheetId="8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7" i="7" l="1"/>
  <c r="Z96" i="12"/>
  <c r="Y96" i="12"/>
  <c r="AC96" i="12" s="1"/>
  <c r="AF96" i="12" s="1"/>
  <c r="Z95" i="12"/>
  <c r="Y95" i="12"/>
  <c r="AD95" i="12" s="1"/>
  <c r="AG95" i="12" s="1"/>
  <c r="Z94" i="12"/>
  <c r="Y94" i="12"/>
  <c r="AC94" i="12" s="1"/>
  <c r="AF94" i="12" s="1"/>
  <c r="Z93" i="12"/>
  <c r="Y93" i="12"/>
  <c r="AD93" i="12" s="1"/>
  <c r="AG93" i="12" s="1"/>
  <c r="Z92" i="12"/>
  <c r="Y92" i="12"/>
  <c r="AC92" i="12" s="1"/>
  <c r="AF92" i="12" s="1"/>
  <c r="Z91" i="12"/>
  <c r="Y91" i="12"/>
  <c r="AD91" i="12" s="1"/>
  <c r="AG91" i="12" s="1"/>
  <c r="Z90" i="12"/>
  <c r="AD90" i="12" s="1"/>
  <c r="AG90" i="12" s="1"/>
  <c r="Y90" i="12"/>
  <c r="Z89" i="12"/>
  <c r="Y89" i="12"/>
  <c r="Z88" i="12"/>
  <c r="AB88" i="12" s="1"/>
  <c r="Y88" i="12"/>
  <c r="AC87" i="12"/>
  <c r="AF87" i="12" s="1"/>
  <c r="Z87" i="12"/>
  <c r="Y87" i="12"/>
  <c r="Z86" i="12"/>
  <c r="AD86" i="12" s="1"/>
  <c r="AG86" i="12" s="1"/>
  <c r="Y86" i="12"/>
  <c r="AB86" i="12" s="1"/>
  <c r="Z85" i="12"/>
  <c r="Y85" i="12"/>
  <c r="Z84" i="12"/>
  <c r="AB84" i="12" s="1"/>
  <c r="Y84" i="12"/>
  <c r="Z83" i="12"/>
  <c r="Y83" i="12"/>
  <c r="AC83" i="12" s="1"/>
  <c r="AF83" i="12" s="1"/>
  <c r="Z82" i="12"/>
  <c r="AD82" i="12" s="1"/>
  <c r="AG82" i="12" s="1"/>
  <c r="Y82" i="12"/>
  <c r="Z81" i="12"/>
  <c r="Y81" i="12"/>
  <c r="Z80" i="12"/>
  <c r="AB80" i="12" s="1"/>
  <c r="Y80" i="12"/>
  <c r="AC79" i="12"/>
  <c r="AF79" i="12" s="1"/>
  <c r="Z79" i="12"/>
  <c r="Y79" i="12"/>
  <c r="W78" i="12"/>
  <c r="V78" i="12"/>
  <c r="U78" i="12"/>
  <c r="Z78" i="12" s="1"/>
  <c r="W77" i="12"/>
  <c r="V77" i="12"/>
  <c r="U77" i="12"/>
  <c r="Z76" i="12"/>
  <c r="W76" i="12"/>
  <c r="V76" i="12"/>
  <c r="U76" i="12"/>
  <c r="W75" i="12"/>
  <c r="V75" i="12"/>
  <c r="U75" i="12"/>
  <c r="W74" i="12"/>
  <c r="V74" i="12"/>
  <c r="U74" i="12"/>
  <c r="Z74" i="12" s="1"/>
  <c r="W73" i="12"/>
  <c r="V73" i="12"/>
  <c r="U73" i="12"/>
  <c r="Z72" i="12"/>
  <c r="W72" i="12"/>
  <c r="V72" i="12"/>
  <c r="U72" i="12"/>
  <c r="W71" i="12"/>
  <c r="V71" i="12"/>
  <c r="U71" i="12"/>
  <c r="W70" i="12"/>
  <c r="V70" i="12"/>
  <c r="U70" i="12"/>
  <c r="Z70" i="12" s="1"/>
  <c r="W69" i="12"/>
  <c r="V69" i="12"/>
  <c r="U69" i="12"/>
  <c r="Z68" i="12"/>
  <c r="W68" i="12"/>
  <c r="V68" i="12"/>
  <c r="U68" i="12"/>
  <c r="W67" i="12"/>
  <c r="V67" i="12"/>
  <c r="U67" i="12"/>
  <c r="W66" i="12"/>
  <c r="V66" i="12"/>
  <c r="U66" i="12"/>
  <c r="Z66" i="12" s="1"/>
  <c r="W65" i="12"/>
  <c r="V65" i="12"/>
  <c r="U65" i="12"/>
  <c r="Z64" i="12"/>
  <c r="W64" i="12"/>
  <c r="V64" i="12"/>
  <c r="U64" i="12"/>
  <c r="W63" i="12"/>
  <c r="V63" i="12"/>
  <c r="U63" i="12"/>
  <c r="W62" i="12"/>
  <c r="V62" i="12"/>
  <c r="U62" i="12"/>
  <c r="Z62" i="12" s="1"/>
  <c r="W61" i="12"/>
  <c r="V61" i="12"/>
  <c r="U61" i="12"/>
  <c r="Z61" i="12" s="1"/>
  <c r="W60" i="12"/>
  <c r="V60" i="12"/>
  <c r="U60" i="12"/>
  <c r="Z60" i="12" s="1"/>
  <c r="W59" i="12"/>
  <c r="V59" i="12"/>
  <c r="U59" i="12"/>
  <c r="Z59" i="12" s="1"/>
  <c r="W58" i="12"/>
  <c r="V58" i="12"/>
  <c r="U58" i="12"/>
  <c r="Z58" i="12" s="1"/>
  <c r="W57" i="12"/>
  <c r="V57" i="12"/>
  <c r="U57" i="12"/>
  <c r="Z57" i="12" s="1"/>
  <c r="W56" i="12"/>
  <c r="V56" i="12"/>
  <c r="U56" i="12"/>
  <c r="Z56" i="12" s="1"/>
  <c r="W55" i="12"/>
  <c r="V55" i="12"/>
  <c r="U55" i="12"/>
  <c r="Z55" i="12" s="1"/>
  <c r="W54" i="12"/>
  <c r="V54" i="12"/>
  <c r="U54" i="12"/>
  <c r="Z54" i="12" s="1"/>
  <c r="W53" i="12"/>
  <c r="V53" i="12"/>
  <c r="U53" i="12"/>
  <c r="Z53" i="12" s="1"/>
  <c r="W52" i="12"/>
  <c r="V52" i="12"/>
  <c r="U52" i="12"/>
  <c r="Z52" i="12" s="1"/>
  <c r="W51" i="12"/>
  <c r="V51" i="12"/>
  <c r="U51" i="12"/>
  <c r="Z51" i="12" s="1"/>
  <c r="W50" i="12"/>
  <c r="V50" i="12"/>
  <c r="U50" i="12"/>
  <c r="Z50" i="12" s="1"/>
  <c r="W49" i="12"/>
  <c r="V49" i="12"/>
  <c r="U49" i="12"/>
  <c r="Z49" i="12" s="1"/>
  <c r="W48" i="12"/>
  <c r="V48" i="12"/>
  <c r="U48" i="12"/>
  <c r="Z48" i="12" s="1"/>
  <c r="W47" i="12"/>
  <c r="V47" i="12"/>
  <c r="U47" i="12"/>
  <c r="Z47" i="12" s="1"/>
  <c r="W46" i="12"/>
  <c r="V46" i="12"/>
  <c r="U46" i="12"/>
  <c r="Z46" i="12" s="1"/>
  <c r="W45" i="12"/>
  <c r="V45" i="12"/>
  <c r="U45" i="12"/>
  <c r="Z45" i="12" s="1"/>
  <c r="W44" i="12"/>
  <c r="V44" i="12"/>
  <c r="U44" i="12"/>
  <c r="Z44" i="12" s="1"/>
  <c r="W43" i="12"/>
  <c r="V43" i="12"/>
  <c r="U43" i="12"/>
  <c r="Z43" i="12" s="1"/>
  <c r="W42" i="12"/>
  <c r="V42" i="12"/>
  <c r="U42" i="12"/>
  <c r="Z42" i="12" s="1"/>
  <c r="W41" i="12"/>
  <c r="V41" i="12"/>
  <c r="U41" i="12"/>
  <c r="Z41" i="12" s="1"/>
  <c r="W40" i="12"/>
  <c r="V40" i="12"/>
  <c r="U40" i="12"/>
  <c r="Z40" i="12" s="1"/>
  <c r="W39" i="12"/>
  <c r="V39" i="12"/>
  <c r="U39" i="12"/>
  <c r="Z39" i="12" s="1"/>
  <c r="W38" i="12"/>
  <c r="V38" i="12"/>
  <c r="U38" i="12"/>
  <c r="Z38" i="12" s="1"/>
  <c r="W37" i="12"/>
  <c r="V37" i="12"/>
  <c r="U37" i="12"/>
  <c r="Z37" i="12" s="1"/>
  <c r="W36" i="12"/>
  <c r="V36" i="12"/>
  <c r="U36" i="12"/>
  <c r="Z36" i="12" s="1"/>
  <c r="W35" i="12"/>
  <c r="V35" i="12"/>
  <c r="U35" i="12"/>
  <c r="Z35" i="12" s="1"/>
  <c r="W34" i="12"/>
  <c r="V34" i="12"/>
  <c r="U34" i="12"/>
  <c r="Z34" i="12" s="1"/>
  <c r="W33" i="12"/>
  <c r="V33" i="12"/>
  <c r="U33" i="12"/>
  <c r="Z33" i="12" s="1"/>
  <c r="W32" i="12"/>
  <c r="V32" i="12"/>
  <c r="U32" i="12"/>
  <c r="Z32" i="12" s="1"/>
  <c r="W31" i="12"/>
  <c r="V31" i="12"/>
  <c r="U31" i="12"/>
  <c r="Z31" i="12" s="1"/>
  <c r="W30" i="12"/>
  <c r="V30" i="12"/>
  <c r="U30" i="12"/>
  <c r="Z30" i="12" s="1"/>
  <c r="W29" i="12"/>
  <c r="V29" i="12"/>
  <c r="U29" i="12"/>
  <c r="Z29" i="12" s="1"/>
  <c r="W28" i="12"/>
  <c r="V28" i="12"/>
  <c r="U28" i="12"/>
  <c r="Z28" i="12" s="1"/>
  <c r="W27" i="12"/>
  <c r="V27" i="12"/>
  <c r="U27" i="12"/>
  <c r="Z27" i="12" s="1"/>
  <c r="W26" i="12"/>
  <c r="V26" i="12"/>
  <c r="U26" i="12"/>
  <c r="Z26" i="12" s="1"/>
  <c r="W25" i="12"/>
  <c r="V25" i="12"/>
  <c r="U25" i="12"/>
  <c r="Z25" i="12" s="1"/>
  <c r="W24" i="12"/>
  <c r="V24" i="12"/>
  <c r="U24" i="12"/>
  <c r="Z24" i="12" s="1"/>
  <c r="W23" i="12"/>
  <c r="V23" i="12"/>
  <c r="U23" i="12"/>
  <c r="Z23" i="12" s="1"/>
  <c r="W22" i="12"/>
  <c r="V22" i="12"/>
  <c r="U22" i="12"/>
  <c r="Z22" i="12" s="1"/>
  <c r="W21" i="12"/>
  <c r="V21" i="12"/>
  <c r="U21" i="12"/>
  <c r="Z21" i="12" s="1"/>
  <c r="W20" i="12"/>
  <c r="V20" i="12"/>
  <c r="U20" i="12"/>
  <c r="Z20" i="12" s="1"/>
  <c r="W19" i="12"/>
  <c r="V19" i="12"/>
  <c r="U19" i="12"/>
  <c r="Z19" i="12" s="1"/>
  <c r="W18" i="12"/>
  <c r="V18" i="12"/>
  <c r="U18" i="12"/>
  <c r="Z18" i="12" s="1"/>
  <c r="W17" i="12"/>
  <c r="V17" i="12"/>
  <c r="U17" i="12"/>
  <c r="Z17" i="12" s="1"/>
  <c r="W16" i="12"/>
  <c r="V16" i="12"/>
  <c r="U16" i="12"/>
  <c r="Z16" i="12" s="1"/>
  <c r="W15" i="12"/>
  <c r="V15" i="12"/>
  <c r="U15" i="12"/>
  <c r="Z15" i="12" s="1"/>
  <c r="W14" i="12"/>
  <c r="V14" i="12"/>
  <c r="U14" i="12"/>
  <c r="Z14" i="12" s="1"/>
  <c r="W13" i="12"/>
  <c r="V13" i="12"/>
  <c r="U13" i="12"/>
  <c r="Z13" i="12" s="1"/>
  <c r="W12" i="12"/>
  <c r="V12" i="12"/>
  <c r="U12" i="12"/>
  <c r="Z12" i="12" s="1"/>
  <c r="W11" i="12"/>
  <c r="V11" i="12"/>
  <c r="U11" i="12"/>
  <c r="Z11" i="12" s="1"/>
  <c r="W10" i="12"/>
  <c r="V10" i="12"/>
  <c r="U10" i="12"/>
  <c r="Z10" i="12" s="1"/>
  <c r="P96" i="12"/>
  <c r="O96" i="12"/>
  <c r="P95" i="12"/>
  <c r="P94" i="12"/>
  <c r="O94" i="12"/>
  <c r="P93" i="12"/>
  <c r="P92" i="12"/>
  <c r="O92" i="12"/>
  <c r="P91" i="12"/>
  <c r="P90" i="12"/>
  <c r="O90" i="12"/>
  <c r="P89" i="12"/>
  <c r="P88" i="12"/>
  <c r="O88" i="12"/>
  <c r="P87" i="12"/>
  <c r="P86" i="12"/>
  <c r="O86" i="12"/>
  <c r="P85" i="12"/>
  <c r="P84" i="12"/>
  <c r="O84" i="12"/>
  <c r="P83" i="12"/>
  <c r="P82" i="12"/>
  <c r="O82" i="12"/>
  <c r="P81" i="12"/>
  <c r="P80" i="12"/>
  <c r="O80" i="12"/>
  <c r="P79" i="12"/>
  <c r="P78" i="12"/>
  <c r="O78" i="12"/>
  <c r="P77" i="12"/>
  <c r="O77" i="12"/>
  <c r="P76" i="12"/>
  <c r="O76" i="12"/>
  <c r="P75" i="12"/>
  <c r="O75" i="12"/>
  <c r="P74" i="12"/>
  <c r="O74" i="12"/>
  <c r="P73" i="12"/>
  <c r="O73" i="12"/>
  <c r="P72" i="12"/>
  <c r="O72" i="12"/>
  <c r="P71" i="12"/>
  <c r="O71" i="12"/>
  <c r="P70" i="12"/>
  <c r="O70" i="12"/>
  <c r="P69" i="12"/>
  <c r="O69" i="12"/>
  <c r="P68" i="12"/>
  <c r="O68" i="12"/>
  <c r="P67" i="12"/>
  <c r="O67" i="12"/>
  <c r="P66" i="12"/>
  <c r="O66" i="12"/>
  <c r="P65" i="12"/>
  <c r="O65" i="12"/>
  <c r="P64" i="12"/>
  <c r="O64" i="12"/>
  <c r="P63" i="12"/>
  <c r="O63" i="12"/>
  <c r="P62" i="12"/>
  <c r="O62" i="12"/>
  <c r="P61" i="12"/>
  <c r="O61" i="12"/>
  <c r="P60" i="12"/>
  <c r="O60" i="12"/>
  <c r="P59" i="12"/>
  <c r="O59" i="12"/>
  <c r="P58" i="12"/>
  <c r="O58" i="12"/>
  <c r="P57" i="12"/>
  <c r="O57" i="12"/>
  <c r="T96" i="12"/>
  <c r="S96" i="12"/>
  <c r="R96" i="12"/>
  <c r="T95" i="12"/>
  <c r="S95" i="12"/>
  <c r="R95" i="12"/>
  <c r="O95" i="12" s="1"/>
  <c r="T94" i="12"/>
  <c r="S94" i="12"/>
  <c r="R94" i="12"/>
  <c r="T93" i="12"/>
  <c r="S93" i="12"/>
  <c r="R93" i="12"/>
  <c r="O93" i="12" s="1"/>
  <c r="T92" i="12"/>
  <c r="S92" i="12"/>
  <c r="R92" i="12"/>
  <c r="T91" i="12"/>
  <c r="S91" i="12"/>
  <c r="R91" i="12"/>
  <c r="O91" i="12" s="1"/>
  <c r="T90" i="12"/>
  <c r="S90" i="12"/>
  <c r="R90" i="12"/>
  <c r="T89" i="12"/>
  <c r="S89" i="12"/>
  <c r="R89" i="12"/>
  <c r="O89" i="12" s="1"/>
  <c r="T88" i="12"/>
  <c r="S88" i="12"/>
  <c r="R88" i="12"/>
  <c r="T87" i="12"/>
  <c r="S87" i="12"/>
  <c r="R87" i="12"/>
  <c r="O87" i="12" s="1"/>
  <c r="T86" i="12"/>
  <c r="S86" i="12"/>
  <c r="R86" i="12"/>
  <c r="T85" i="12"/>
  <c r="S85" i="12"/>
  <c r="R85" i="12"/>
  <c r="O85" i="12" s="1"/>
  <c r="T84" i="12"/>
  <c r="S84" i="12"/>
  <c r="R84" i="12"/>
  <c r="T83" i="12"/>
  <c r="S83" i="12"/>
  <c r="R83" i="12"/>
  <c r="O83" i="12" s="1"/>
  <c r="T82" i="12"/>
  <c r="S82" i="12"/>
  <c r="R82" i="12"/>
  <c r="T81" i="12"/>
  <c r="S81" i="12"/>
  <c r="R81" i="12"/>
  <c r="O81" i="12" s="1"/>
  <c r="T80" i="12"/>
  <c r="S80" i="12"/>
  <c r="R80" i="12"/>
  <c r="T79" i="12"/>
  <c r="S79" i="12"/>
  <c r="R79" i="12"/>
  <c r="O79" i="12" s="1"/>
  <c r="O56" i="12"/>
  <c r="O55" i="12"/>
  <c r="O54" i="12"/>
  <c r="O53" i="12"/>
  <c r="O52" i="12"/>
  <c r="O51" i="12"/>
  <c r="O50" i="12"/>
  <c r="O49" i="12"/>
  <c r="O48" i="12"/>
  <c r="O47" i="12"/>
  <c r="O46" i="12"/>
  <c r="O45" i="12"/>
  <c r="O44" i="12"/>
  <c r="O43" i="12"/>
  <c r="O42" i="12"/>
  <c r="O41" i="12"/>
  <c r="O40" i="12"/>
  <c r="O39" i="12"/>
  <c r="O38" i="12"/>
  <c r="O37" i="12"/>
  <c r="O36" i="12"/>
  <c r="O35" i="12"/>
  <c r="O34" i="12"/>
  <c r="O33" i="12"/>
  <c r="O32" i="12"/>
  <c r="O31" i="12"/>
  <c r="O30" i="12"/>
  <c r="O29" i="12"/>
  <c r="O28" i="12"/>
  <c r="O27" i="12"/>
  <c r="O26" i="12"/>
  <c r="O25" i="12"/>
  <c r="O24" i="12"/>
  <c r="O23" i="12"/>
  <c r="O22" i="12"/>
  <c r="O21" i="12"/>
  <c r="O20" i="12"/>
  <c r="O19" i="12"/>
  <c r="O18" i="12"/>
  <c r="O17" i="12"/>
  <c r="O16" i="12"/>
  <c r="O15" i="12"/>
  <c r="O14" i="12"/>
  <c r="O13" i="12"/>
  <c r="O12" i="12"/>
  <c r="O11" i="12"/>
  <c r="O10" i="12"/>
  <c r="O9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N9" i="12"/>
  <c r="M9" i="12"/>
  <c r="W9" i="12"/>
  <c r="V9" i="12"/>
  <c r="U9" i="12"/>
  <c r="Y11" i="12" l="1"/>
  <c r="Y13" i="12"/>
  <c r="Y15" i="12"/>
  <c r="Y17" i="12"/>
  <c r="Y19" i="12"/>
  <c r="Y21" i="12"/>
  <c r="Y23" i="12"/>
  <c r="Y25" i="12"/>
  <c r="Y27" i="12"/>
  <c r="Y29" i="12"/>
  <c r="Y31" i="12"/>
  <c r="Y33" i="12"/>
  <c r="Y35" i="12"/>
  <c r="Y37" i="12"/>
  <c r="Y39" i="12"/>
  <c r="Y41" i="12"/>
  <c r="Y43" i="12"/>
  <c r="Y45" i="12"/>
  <c r="Y47" i="12"/>
  <c r="Y49" i="12"/>
  <c r="Y51" i="12"/>
  <c r="Y53" i="12"/>
  <c r="Y55" i="12"/>
  <c r="Y57" i="12"/>
  <c r="Y59" i="12"/>
  <c r="Y61" i="12"/>
  <c r="AC90" i="12"/>
  <c r="AF90" i="12" s="1"/>
  <c r="AB90" i="12"/>
  <c r="AD94" i="12"/>
  <c r="AG94" i="12" s="1"/>
  <c r="Y10" i="12"/>
  <c r="Y12" i="12"/>
  <c r="Y14" i="12"/>
  <c r="Y16" i="12"/>
  <c r="Y18" i="12"/>
  <c r="Y20" i="12"/>
  <c r="Y22" i="12"/>
  <c r="Y24" i="12"/>
  <c r="Y26" i="12"/>
  <c r="Y28" i="12"/>
  <c r="Y30" i="12"/>
  <c r="Y32" i="12"/>
  <c r="Y34" i="12"/>
  <c r="Y36" i="12"/>
  <c r="Y38" i="12"/>
  <c r="Y40" i="12"/>
  <c r="Y42" i="12"/>
  <c r="Y44" i="12"/>
  <c r="Y46" i="12"/>
  <c r="Y48" i="12"/>
  <c r="Y50" i="12"/>
  <c r="Y52" i="12"/>
  <c r="Y54" i="12"/>
  <c r="Y56" i="12"/>
  <c r="Y58" i="12"/>
  <c r="Y60" i="12"/>
  <c r="AC82" i="12"/>
  <c r="AF82" i="12" s="1"/>
  <c r="AB82" i="12"/>
  <c r="AC86" i="12"/>
  <c r="AF86" i="12" s="1"/>
  <c r="AD92" i="12"/>
  <c r="AG92" i="12" s="1"/>
  <c r="AD96" i="12"/>
  <c r="AG96" i="12" s="1"/>
  <c r="AD80" i="12"/>
  <c r="AG80" i="12" s="1"/>
  <c r="AD81" i="12"/>
  <c r="AG81" i="12" s="1"/>
  <c r="AB81" i="12"/>
  <c r="AA81" i="12"/>
  <c r="AE81" i="12" s="1"/>
  <c r="AD84" i="12"/>
  <c r="AG84" i="12" s="1"/>
  <c r="AD85" i="12"/>
  <c r="AG85" i="12" s="1"/>
  <c r="AB85" i="12"/>
  <c r="AA85" i="12"/>
  <c r="AE85" i="12" s="1"/>
  <c r="AD88" i="12"/>
  <c r="AG88" i="12" s="1"/>
  <c r="AD89" i="12"/>
  <c r="AG89" i="12" s="1"/>
  <c r="AB89" i="12"/>
  <c r="AA89" i="12"/>
  <c r="AE89" i="12" s="1"/>
  <c r="AD79" i="12"/>
  <c r="AG79" i="12" s="1"/>
  <c r="AB79" i="12"/>
  <c r="AA79" i="12"/>
  <c r="AE79" i="12" s="1"/>
  <c r="AC80" i="12"/>
  <c r="AF80" i="12" s="1"/>
  <c r="AC81" i="12"/>
  <c r="AF81" i="12" s="1"/>
  <c r="AD83" i="12"/>
  <c r="AG83" i="12" s="1"/>
  <c r="AB83" i="12"/>
  <c r="AA83" i="12"/>
  <c r="AE83" i="12" s="1"/>
  <c r="AC84" i="12"/>
  <c r="AF84" i="12" s="1"/>
  <c r="AC85" i="12"/>
  <c r="AF85" i="12" s="1"/>
  <c r="AD87" i="12"/>
  <c r="AG87" i="12" s="1"/>
  <c r="AB87" i="12"/>
  <c r="AA87" i="12"/>
  <c r="AE87" i="12" s="1"/>
  <c r="AC88" i="12"/>
  <c r="AF88" i="12" s="1"/>
  <c r="AC89" i="12"/>
  <c r="AF89" i="12" s="1"/>
  <c r="AA91" i="12"/>
  <c r="AE91" i="12" s="1"/>
  <c r="AC91" i="12"/>
  <c r="AF91" i="12" s="1"/>
  <c r="AB92" i="12"/>
  <c r="AA93" i="12"/>
  <c r="AE93" i="12" s="1"/>
  <c r="AC93" i="12"/>
  <c r="AF93" i="12" s="1"/>
  <c r="AB94" i="12"/>
  <c r="AA95" i="12"/>
  <c r="AE95" i="12" s="1"/>
  <c r="AC95" i="12"/>
  <c r="AF95" i="12" s="1"/>
  <c r="AB96" i="12"/>
  <c r="AA80" i="12"/>
  <c r="AE80" i="12" s="1"/>
  <c r="AA82" i="12"/>
  <c r="AE82" i="12" s="1"/>
  <c r="AA84" i="12"/>
  <c r="AE84" i="12" s="1"/>
  <c r="AA86" i="12"/>
  <c r="AE86" i="12" s="1"/>
  <c r="AA88" i="12"/>
  <c r="AE88" i="12" s="1"/>
  <c r="AA90" i="12"/>
  <c r="AE90" i="12" s="1"/>
  <c r="AB91" i="12"/>
  <c r="AA92" i="12"/>
  <c r="AE92" i="12" s="1"/>
  <c r="AB93" i="12"/>
  <c r="AA94" i="12"/>
  <c r="AE94" i="12" s="1"/>
  <c r="AB95" i="12"/>
  <c r="AA96" i="12"/>
  <c r="AE96" i="12" s="1"/>
  <c r="AD10" i="12"/>
  <c r="AG10" i="12" s="1"/>
  <c r="AB10" i="12"/>
  <c r="AC10" i="12"/>
  <c r="AF10" i="12" s="1"/>
  <c r="AD11" i="12"/>
  <c r="AG11" i="12" s="1"/>
  <c r="AB11" i="12"/>
  <c r="AC11" i="12"/>
  <c r="AF11" i="12" s="1"/>
  <c r="AD12" i="12"/>
  <c r="AG12" i="12" s="1"/>
  <c r="AB12" i="12"/>
  <c r="AC12" i="12"/>
  <c r="AF12" i="12" s="1"/>
  <c r="AD13" i="12"/>
  <c r="AG13" i="12" s="1"/>
  <c r="AB13" i="12"/>
  <c r="AC13" i="12"/>
  <c r="AF13" i="12" s="1"/>
  <c r="AD14" i="12"/>
  <c r="AG14" i="12" s="1"/>
  <c r="AB14" i="12"/>
  <c r="AC14" i="12"/>
  <c r="AF14" i="12" s="1"/>
  <c r="AD15" i="12"/>
  <c r="AG15" i="12" s="1"/>
  <c r="AB15" i="12"/>
  <c r="AC15" i="12"/>
  <c r="AF15" i="12" s="1"/>
  <c r="AD16" i="12"/>
  <c r="AG16" i="12" s="1"/>
  <c r="AB16" i="12"/>
  <c r="AC16" i="12"/>
  <c r="AF16" i="12" s="1"/>
  <c r="AD17" i="12"/>
  <c r="AG17" i="12" s="1"/>
  <c r="AB17" i="12"/>
  <c r="AC17" i="12"/>
  <c r="AF17" i="12" s="1"/>
  <c r="AA10" i="12"/>
  <c r="AE10" i="12" s="1"/>
  <c r="AA11" i="12"/>
  <c r="AE11" i="12" s="1"/>
  <c r="AA12" i="12"/>
  <c r="AE12" i="12" s="1"/>
  <c r="AA13" i="12"/>
  <c r="AE13" i="12" s="1"/>
  <c r="AA14" i="12"/>
  <c r="AE14" i="12" s="1"/>
  <c r="AA15" i="12"/>
  <c r="AE15" i="12" s="1"/>
  <c r="AA16" i="12"/>
  <c r="AE16" i="12" s="1"/>
  <c r="AA17" i="12"/>
  <c r="AE17" i="12" s="1"/>
  <c r="AD18" i="12"/>
  <c r="AG18" i="12" s="1"/>
  <c r="AD19" i="12"/>
  <c r="AG19" i="12" s="1"/>
  <c r="AD20" i="12"/>
  <c r="AG20" i="12" s="1"/>
  <c r="AD21" i="12"/>
  <c r="AG21" i="12" s="1"/>
  <c r="AD22" i="12"/>
  <c r="AG22" i="12" s="1"/>
  <c r="AD23" i="12"/>
  <c r="AG23" i="12" s="1"/>
  <c r="AD24" i="12"/>
  <c r="AG24" i="12" s="1"/>
  <c r="AD25" i="12"/>
  <c r="AG25" i="12" s="1"/>
  <c r="AD26" i="12"/>
  <c r="AG26" i="12" s="1"/>
  <c r="AD27" i="12"/>
  <c r="AG27" i="12" s="1"/>
  <c r="AD28" i="12"/>
  <c r="AG28" i="12" s="1"/>
  <c r="AD29" i="12"/>
  <c r="AG29" i="12" s="1"/>
  <c r="AD30" i="12"/>
  <c r="AG30" i="12" s="1"/>
  <c r="AA18" i="12"/>
  <c r="AE18" i="12" s="1"/>
  <c r="AC18" i="12"/>
  <c r="AF18" i="12" s="1"/>
  <c r="AA19" i="12"/>
  <c r="AE19" i="12" s="1"/>
  <c r="AC19" i="12"/>
  <c r="AF19" i="12" s="1"/>
  <c r="AA20" i="12"/>
  <c r="AE20" i="12" s="1"/>
  <c r="AC20" i="12"/>
  <c r="AF20" i="12" s="1"/>
  <c r="AA21" i="12"/>
  <c r="AE21" i="12" s="1"/>
  <c r="AC21" i="12"/>
  <c r="AF21" i="12" s="1"/>
  <c r="AA22" i="12"/>
  <c r="AE22" i="12" s="1"/>
  <c r="AC22" i="12"/>
  <c r="AF22" i="12" s="1"/>
  <c r="AA23" i="12"/>
  <c r="AE23" i="12" s="1"/>
  <c r="AC23" i="12"/>
  <c r="AF23" i="12" s="1"/>
  <c r="AA24" i="12"/>
  <c r="AE24" i="12" s="1"/>
  <c r="AC24" i="12"/>
  <c r="AF24" i="12" s="1"/>
  <c r="AA25" i="12"/>
  <c r="AE25" i="12" s="1"/>
  <c r="AC25" i="12"/>
  <c r="AF25" i="12" s="1"/>
  <c r="AA26" i="12"/>
  <c r="AE26" i="12" s="1"/>
  <c r="AC26" i="12"/>
  <c r="AF26" i="12" s="1"/>
  <c r="AA27" i="12"/>
  <c r="AE27" i="12" s="1"/>
  <c r="AC27" i="12"/>
  <c r="AF27" i="12" s="1"/>
  <c r="AA28" i="12"/>
  <c r="AE28" i="12" s="1"/>
  <c r="AC28" i="12"/>
  <c r="AF28" i="12" s="1"/>
  <c r="AA29" i="12"/>
  <c r="AE29" i="12" s="1"/>
  <c r="AC29" i="12"/>
  <c r="AF29" i="12" s="1"/>
  <c r="AA30" i="12"/>
  <c r="AE30" i="12" s="1"/>
  <c r="AC30" i="12"/>
  <c r="AF30" i="12" s="1"/>
  <c r="AD31" i="12"/>
  <c r="AG31" i="12" s="1"/>
  <c r="AB31" i="12"/>
  <c r="AC31" i="12"/>
  <c r="AF31" i="12" s="1"/>
  <c r="AD32" i="12"/>
  <c r="AG32" i="12" s="1"/>
  <c r="AB32" i="12"/>
  <c r="AC32" i="12"/>
  <c r="AF32" i="12" s="1"/>
  <c r="AD33" i="12"/>
  <c r="AG33" i="12" s="1"/>
  <c r="AB33" i="12"/>
  <c r="AC33" i="12"/>
  <c r="AF33" i="12" s="1"/>
  <c r="AD34" i="12"/>
  <c r="AG34" i="12" s="1"/>
  <c r="AB34" i="12"/>
  <c r="AC34" i="12"/>
  <c r="AF34" i="12" s="1"/>
  <c r="AD35" i="12"/>
  <c r="AG35" i="12" s="1"/>
  <c r="AB35" i="12"/>
  <c r="AC35" i="12"/>
  <c r="AF35" i="12" s="1"/>
  <c r="AD36" i="12"/>
  <c r="AG36" i="12" s="1"/>
  <c r="AB36" i="12"/>
  <c r="AC36" i="12"/>
  <c r="AF36" i="12" s="1"/>
  <c r="AD37" i="12"/>
  <c r="AG37" i="12" s="1"/>
  <c r="AB37" i="12"/>
  <c r="AC37" i="12"/>
  <c r="AF37" i="12" s="1"/>
  <c r="AD38" i="12"/>
  <c r="AG38" i="12" s="1"/>
  <c r="AB38" i="12"/>
  <c r="AC38" i="12"/>
  <c r="AF38" i="12" s="1"/>
  <c r="AD39" i="12"/>
  <c r="AG39" i="12" s="1"/>
  <c r="AB39" i="12"/>
  <c r="AC39" i="12"/>
  <c r="AF39" i="12" s="1"/>
  <c r="AD40" i="12"/>
  <c r="AG40" i="12" s="1"/>
  <c r="AB40" i="12"/>
  <c r="AC40" i="12"/>
  <c r="AF40" i="12" s="1"/>
  <c r="AD41" i="12"/>
  <c r="AG41" i="12" s="1"/>
  <c r="AB41" i="12"/>
  <c r="AC41" i="12"/>
  <c r="AF41" i="12" s="1"/>
  <c r="AD42" i="12"/>
  <c r="AG42" i="12" s="1"/>
  <c r="AB42" i="12"/>
  <c r="AC42" i="12"/>
  <c r="AF42" i="12" s="1"/>
  <c r="AD43" i="12"/>
  <c r="AG43" i="12" s="1"/>
  <c r="AB43" i="12"/>
  <c r="AC43" i="12"/>
  <c r="AF43" i="12" s="1"/>
  <c r="AD44" i="12"/>
  <c r="AG44" i="12" s="1"/>
  <c r="AB44" i="12"/>
  <c r="AC44" i="12"/>
  <c r="AF44" i="12" s="1"/>
  <c r="AD45" i="12"/>
  <c r="AG45" i="12" s="1"/>
  <c r="AB45" i="12"/>
  <c r="AC45" i="12"/>
  <c r="AF45" i="12" s="1"/>
  <c r="AD46" i="12"/>
  <c r="AG46" i="12" s="1"/>
  <c r="AB46" i="12"/>
  <c r="AC46" i="12"/>
  <c r="AF46" i="12" s="1"/>
  <c r="AD47" i="12"/>
  <c r="AG47" i="12" s="1"/>
  <c r="AB47" i="12"/>
  <c r="AC47" i="12"/>
  <c r="AF47" i="12" s="1"/>
  <c r="AD48" i="12"/>
  <c r="AG48" i="12" s="1"/>
  <c r="AB48" i="12"/>
  <c r="AC48" i="12"/>
  <c r="AF48" i="12" s="1"/>
  <c r="AD49" i="12"/>
  <c r="AG49" i="12" s="1"/>
  <c r="AB49" i="12"/>
  <c r="AC49" i="12"/>
  <c r="AF49" i="12" s="1"/>
  <c r="AD50" i="12"/>
  <c r="AG50" i="12" s="1"/>
  <c r="AB50" i="12"/>
  <c r="AC50" i="12"/>
  <c r="AF50" i="12" s="1"/>
  <c r="AD51" i="12"/>
  <c r="AG51" i="12" s="1"/>
  <c r="AB51" i="12"/>
  <c r="AC51" i="12"/>
  <c r="AF51" i="12" s="1"/>
  <c r="AD52" i="12"/>
  <c r="AG52" i="12" s="1"/>
  <c r="AB52" i="12"/>
  <c r="AC52" i="12"/>
  <c r="AF52" i="12" s="1"/>
  <c r="AD53" i="12"/>
  <c r="AG53" i="12" s="1"/>
  <c r="AB53" i="12"/>
  <c r="AC53" i="12"/>
  <c r="AF53" i="12" s="1"/>
  <c r="AD54" i="12"/>
  <c r="AG54" i="12" s="1"/>
  <c r="AB54" i="12"/>
  <c r="AC54" i="12"/>
  <c r="AF54" i="12" s="1"/>
  <c r="AD55" i="12"/>
  <c r="AG55" i="12" s="1"/>
  <c r="AB55" i="12"/>
  <c r="AC55" i="12"/>
  <c r="AF55" i="12" s="1"/>
  <c r="AD56" i="12"/>
  <c r="AG56" i="12" s="1"/>
  <c r="AB56" i="12"/>
  <c r="AC56" i="12"/>
  <c r="AF56" i="12" s="1"/>
  <c r="AD57" i="12"/>
  <c r="AG57" i="12" s="1"/>
  <c r="AB57" i="12"/>
  <c r="AC57" i="12"/>
  <c r="AF57" i="12" s="1"/>
  <c r="AD58" i="12"/>
  <c r="AG58" i="12" s="1"/>
  <c r="AB58" i="12"/>
  <c r="AC58" i="12"/>
  <c r="AF58" i="12" s="1"/>
  <c r="AD59" i="12"/>
  <c r="AG59" i="12" s="1"/>
  <c r="AB59" i="12"/>
  <c r="AC59" i="12"/>
  <c r="AF59" i="12" s="1"/>
  <c r="AD60" i="12"/>
  <c r="AG60" i="12" s="1"/>
  <c r="AB60" i="12"/>
  <c r="AC60" i="12"/>
  <c r="AF60" i="12" s="1"/>
  <c r="AD61" i="12"/>
  <c r="AG61" i="12" s="1"/>
  <c r="AB61" i="12"/>
  <c r="AC61" i="12"/>
  <c r="AF61" i="12" s="1"/>
  <c r="Y63" i="12"/>
  <c r="Z63" i="12"/>
  <c r="Y65" i="12"/>
  <c r="Z65" i="12"/>
  <c r="Y67" i="12"/>
  <c r="Z67" i="12"/>
  <c r="Y69" i="12"/>
  <c r="Z69" i="12"/>
  <c r="Y71" i="12"/>
  <c r="Z71" i="12"/>
  <c r="Y73" i="12"/>
  <c r="Z73" i="12"/>
  <c r="Y75" i="12"/>
  <c r="Z75" i="12"/>
  <c r="Y77" i="12"/>
  <c r="Z77" i="12"/>
  <c r="AB18" i="12"/>
  <c r="AB19" i="12"/>
  <c r="AB20" i="12"/>
  <c r="AB21" i="12"/>
  <c r="AB22" i="12"/>
  <c r="AB23" i="12"/>
  <c r="AB24" i="12"/>
  <c r="AB25" i="12"/>
  <c r="AB26" i="12"/>
  <c r="AB27" i="12"/>
  <c r="AB28" i="12"/>
  <c r="AB29" i="12"/>
  <c r="AB30" i="12"/>
  <c r="AA31" i="12"/>
  <c r="AE31" i="12"/>
  <c r="AA32" i="12"/>
  <c r="AE32" i="12" s="1"/>
  <c r="AA33" i="12"/>
  <c r="AE33" i="12" s="1"/>
  <c r="AA34" i="12"/>
  <c r="AE34" i="12" s="1"/>
  <c r="AA35" i="12"/>
  <c r="AE35" i="12" s="1"/>
  <c r="AA36" i="12"/>
  <c r="AE36" i="12" s="1"/>
  <c r="AA37" i="12"/>
  <c r="AE37" i="12" s="1"/>
  <c r="AA38" i="12"/>
  <c r="AE38" i="12" s="1"/>
  <c r="AA39" i="12"/>
  <c r="AE39" i="12" s="1"/>
  <c r="AA40" i="12"/>
  <c r="AE40" i="12" s="1"/>
  <c r="AA41" i="12"/>
  <c r="AE41" i="12" s="1"/>
  <c r="AA42" i="12"/>
  <c r="AE42" i="12" s="1"/>
  <c r="AA43" i="12"/>
  <c r="AE43" i="12" s="1"/>
  <c r="AA44" i="12"/>
  <c r="AE44" i="12" s="1"/>
  <c r="AA45" i="12"/>
  <c r="AE45" i="12" s="1"/>
  <c r="AA46" i="12"/>
  <c r="AE46" i="12" s="1"/>
  <c r="AA47" i="12"/>
  <c r="AE47" i="12" s="1"/>
  <c r="AA48" i="12"/>
  <c r="AE48" i="12" s="1"/>
  <c r="AA49" i="12"/>
  <c r="AE49" i="12" s="1"/>
  <c r="AA50" i="12"/>
  <c r="AE50" i="12" s="1"/>
  <c r="AA51" i="12"/>
  <c r="AE51" i="12" s="1"/>
  <c r="AA52" i="12"/>
  <c r="AE52" i="12" s="1"/>
  <c r="AA53" i="12"/>
  <c r="AE53" i="12" s="1"/>
  <c r="AA54" i="12"/>
  <c r="AE54" i="12" s="1"/>
  <c r="AA55" i="12"/>
  <c r="AE55" i="12" s="1"/>
  <c r="AA56" i="12"/>
  <c r="AE56" i="12" s="1"/>
  <c r="AA57" i="12"/>
  <c r="AE57" i="12" s="1"/>
  <c r="AA58" i="12"/>
  <c r="AE58" i="12" s="1"/>
  <c r="AA59" i="12"/>
  <c r="AE59" i="12" s="1"/>
  <c r="AA60" i="12"/>
  <c r="AE60" i="12" s="1"/>
  <c r="AA61" i="12"/>
  <c r="AE61" i="12" s="1"/>
  <c r="Y62" i="12"/>
  <c r="Y64" i="12"/>
  <c r="Y66" i="12"/>
  <c r="Y68" i="12"/>
  <c r="Y70" i="12"/>
  <c r="Y72" i="12"/>
  <c r="Y74" i="12"/>
  <c r="Y76" i="12"/>
  <c r="Y78" i="12"/>
  <c r="Z9" i="12"/>
  <c r="Y9" i="12"/>
  <c r="W14" i="18"/>
  <c r="V14" i="18"/>
  <c r="U14" i="18"/>
  <c r="Y14" i="18" s="1"/>
  <c r="W13" i="18"/>
  <c r="V13" i="18"/>
  <c r="U13" i="18"/>
  <c r="Z13" i="18" s="1"/>
  <c r="W12" i="18"/>
  <c r="V12" i="18"/>
  <c r="U12" i="18"/>
  <c r="Z12" i="18" s="1"/>
  <c r="W11" i="18"/>
  <c r="V11" i="18"/>
  <c r="U11" i="18"/>
  <c r="Y11" i="18" s="1"/>
  <c r="W10" i="18"/>
  <c r="V10" i="18"/>
  <c r="U10" i="18"/>
  <c r="Y10" i="18" s="1"/>
  <c r="W9" i="18"/>
  <c r="V9" i="18"/>
  <c r="U9" i="18"/>
  <c r="Z9" i="18"/>
  <c r="AC30" i="19"/>
  <c r="AC26" i="19"/>
  <c r="AC22" i="19"/>
  <c r="AC18" i="19"/>
  <c r="AC14" i="19"/>
  <c r="AC10" i="19"/>
  <c r="Z30" i="19"/>
  <c r="Y30" i="19"/>
  <c r="AA30" i="19" s="1"/>
  <c r="Z28" i="19"/>
  <c r="Y28" i="19"/>
  <c r="AA28" i="19" s="1"/>
  <c r="Z26" i="19"/>
  <c r="Y26" i="19"/>
  <c r="AA26" i="19" s="1"/>
  <c r="Y25" i="19"/>
  <c r="Y24" i="19"/>
  <c r="Z22" i="19"/>
  <c r="Y22" i="19"/>
  <c r="AA22" i="19" s="1"/>
  <c r="Z20" i="19"/>
  <c r="Y20" i="19"/>
  <c r="AA20" i="19" s="1"/>
  <c r="Z18" i="19"/>
  <c r="Y18" i="19"/>
  <c r="AA18" i="19" s="1"/>
  <c r="Y17" i="19"/>
  <c r="Y16" i="19"/>
  <c r="Z14" i="19"/>
  <c r="Y14" i="19"/>
  <c r="AA14" i="19" s="1"/>
  <c r="Z12" i="19"/>
  <c r="Y12" i="19"/>
  <c r="AA12" i="19" s="1"/>
  <c r="Z10" i="19"/>
  <c r="Y10" i="19"/>
  <c r="AA10" i="19" s="1"/>
  <c r="Z9" i="19"/>
  <c r="W30" i="19"/>
  <c r="V30" i="19"/>
  <c r="U30" i="19"/>
  <c r="W29" i="19"/>
  <c r="V29" i="19"/>
  <c r="U29" i="19"/>
  <c r="Z29" i="19" s="1"/>
  <c r="W28" i="19"/>
  <c r="V28" i="19"/>
  <c r="U28" i="19"/>
  <c r="W27" i="19"/>
  <c r="V27" i="19"/>
  <c r="U27" i="19"/>
  <c r="Z27" i="19" s="1"/>
  <c r="W26" i="19"/>
  <c r="V26" i="19"/>
  <c r="U26" i="19"/>
  <c r="W25" i="19"/>
  <c r="V25" i="19"/>
  <c r="U25" i="19"/>
  <c r="Z25" i="19" s="1"/>
  <c r="W24" i="19"/>
  <c r="V24" i="19"/>
  <c r="U24" i="19"/>
  <c r="W23" i="19"/>
  <c r="V23" i="19"/>
  <c r="U23" i="19"/>
  <c r="Z23" i="19" s="1"/>
  <c r="W22" i="19"/>
  <c r="V22" i="19"/>
  <c r="U22" i="19"/>
  <c r="W21" i="19"/>
  <c r="V21" i="19"/>
  <c r="U21" i="19"/>
  <c r="Z21" i="19" s="1"/>
  <c r="W20" i="19"/>
  <c r="V20" i="19"/>
  <c r="U20" i="19"/>
  <c r="W19" i="19"/>
  <c r="V19" i="19"/>
  <c r="U19" i="19"/>
  <c r="Z19" i="19" s="1"/>
  <c r="W18" i="19"/>
  <c r="V18" i="19"/>
  <c r="U18" i="19"/>
  <c r="W17" i="19"/>
  <c r="V17" i="19"/>
  <c r="U17" i="19"/>
  <c r="W16" i="19"/>
  <c r="V16" i="19"/>
  <c r="U16" i="19"/>
  <c r="W15" i="19"/>
  <c r="V15" i="19"/>
  <c r="U15" i="19"/>
  <c r="Z15" i="19" s="1"/>
  <c r="W14" i="19"/>
  <c r="V14" i="19"/>
  <c r="U14" i="19"/>
  <c r="W13" i="19"/>
  <c r="V13" i="19"/>
  <c r="U13" i="19"/>
  <c r="Z13" i="19" s="1"/>
  <c r="W12" i="19"/>
  <c r="V12" i="19"/>
  <c r="U12" i="19"/>
  <c r="W11" i="19"/>
  <c r="V11" i="19"/>
  <c r="U11" i="19"/>
  <c r="Z11" i="19" s="1"/>
  <c r="W10" i="19"/>
  <c r="V10" i="19"/>
  <c r="U10" i="19"/>
  <c r="W9" i="19"/>
  <c r="V9" i="19"/>
  <c r="U9" i="19"/>
  <c r="Y9" i="19" s="1"/>
  <c r="Z11" i="18" l="1"/>
  <c r="Y13" i="18"/>
  <c r="AC13" i="18" s="1"/>
  <c r="AF13" i="18" s="1"/>
  <c r="AD11" i="18"/>
  <c r="AG11" i="18" s="1"/>
  <c r="AA9" i="19"/>
  <c r="AC9" i="19"/>
  <c r="AD9" i="19"/>
  <c r="AB9" i="19"/>
  <c r="AD25" i="19"/>
  <c r="AG25" i="19" s="1"/>
  <c r="AF22" i="19"/>
  <c r="AF30" i="19"/>
  <c r="AC25" i="19"/>
  <c r="AE20" i="19"/>
  <c r="AE28" i="19"/>
  <c r="AE10" i="19"/>
  <c r="AE18" i="19"/>
  <c r="AE26" i="19"/>
  <c r="AB10" i="19"/>
  <c r="AB12" i="19"/>
  <c r="AB14" i="19"/>
  <c r="AB18" i="19"/>
  <c r="AB20" i="19"/>
  <c r="AB22" i="19"/>
  <c r="AB26" i="19"/>
  <c r="AB28" i="19"/>
  <c r="AB30" i="19"/>
  <c r="AC28" i="19"/>
  <c r="Z16" i="19"/>
  <c r="AB16" i="19" s="1"/>
  <c r="Z24" i="19"/>
  <c r="AA24" i="19" s="1"/>
  <c r="AE24" i="19" s="1"/>
  <c r="AD10" i="19"/>
  <c r="AG10" i="19" s="1"/>
  <c r="AD12" i="19"/>
  <c r="AG12" i="19" s="1"/>
  <c r="AD14" i="19"/>
  <c r="AG14" i="19" s="1"/>
  <c r="AD16" i="19"/>
  <c r="AD18" i="19"/>
  <c r="AG18" i="19" s="1"/>
  <c r="AD20" i="19"/>
  <c r="AG20" i="19" s="1"/>
  <c r="AD22" i="19"/>
  <c r="AD24" i="19"/>
  <c r="AG24" i="19" s="1"/>
  <c r="AD26" i="19"/>
  <c r="AG26" i="19" s="1"/>
  <c r="AD28" i="19"/>
  <c r="AG28" i="19" s="1"/>
  <c r="AD30" i="19"/>
  <c r="Y12" i="18"/>
  <c r="AD12" i="18" s="1"/>
  <c r="AG12" i="18" s="1"/>
  <c r="AC20" i="19"/>
  <c r="AF20" i="19" s="1"/>
  <c r="AC24" i="19"/>
  <c r="AF24" i="19" s="1"/>
  <c r="Y13" i="19"/>
  <c r="Y21" i="19"/>
  <c r="Y29" i="19"/>
  <c r="AA25" i="19"/>
  <c r="AE25" i="19" s="1"/>
  <c r="AC16" i="19"/>
  <c r="AF16" i="19" s="1"/>
  <c r="AE14" i="19"/>
  <c r="AG16" i="19"/>
  <c r="AE22" i="19"/>
  <c r="AE30" i="19"/>
  <c r="Z17" i="19"/>
  <c r="AA17" i="19" s="1"/>
  <c r="AE17" i="19" s="1"/>
  <c r="AB17" i="19"/>
  <c r="AB25" i="19"/>
  <c r="AD13" i="18"/>
  <c r="AG13" i="18" s="1"/>
  <c r="AF10" i="19"/>
  <c r="AF18" i="19"/>
  <c r="AF26" i="19"/>
  <c r="AC12" i="19"/>
  <c r="AE12" i="19"/>
  <c r="AG22" i="19"/>
  <c r="AG30" i="19"/>
  <c r="AE9" i="19"/>
  <c r="AF14" i="19"/>
  <c r="AC17" i="19"/>
  <c r="AF17" i="19" s="1"/>
  <c r="AF9" i="19"/>
  <c r="AF25" i="19"/>
  <c r="AG9" i="19"/>
  <c r="AF12" i="19"/>
  <c r="AF28" i="19"/>
  <c r="Y11" i="19"/>
  <c r="Y15" i="19"/>
  <c r="Y19" i="19"/>
  <c r="Y23" i="19"/>
  <c r="Y27" i="19"/>
  <c r="Z10" i="18"/>
  <c r="AD10" i="18" s="1"/>
  <c r="AG10" i="18" s="1"/>
  <c r="Z14" i="18"/>
  <c r="AD14" i="18" s="1"/>
  <c r="AG14" i="18" s="1"/>
  <c r="AC78" i="12"/>
  <c r="AF78" i="12" s="1"/>
  <c r="AA78" i="12"/>
  <c r="AE78" i="12" s="1"/>
  <c r="AB78" i="12"/>
  <c r="AD78" i="12"/>
  <c r="AG78" i="12" s="1"/>
  <c r="AC74" i="12"/>
  <c r="AF74" i="12" s="1"/>
  <c r="AA74" i="12"/>
  <c r="AE74" i="12" s="1"/>
  <c r="AB74" i="12"/>
  <c r="AD74" i="12"/>
  <c r="AG74" i="12" s="1"/>
  <c r="AC70" i="12"/>
  <c r="AF70" i="12" s="1"/>
  <c r="AA70" i="12"/>
  <c r="AE70" i="12" s="1"/>
  <c r="AB70" i="12"/>
  <c r="AD70" i="12"/>
  <c r="AG70" i="12" s="1"/>
  <c r="AC66" i="12"/>
  <c r="AF66" i="12" s="1"/>
  <c r="AA66" i="12"/>
  <c r="AE66" i="12" s="1"/>
  <c r="AB66" i="12"/>
  <c r="AD66" i="12"/>
  <c r="AG66" i="12" s="1"/>
  <c r="AC62" i="12"/>
  <c r="AF62" i="12" s="1"/>
  <c r="AA62" i="12"/>
  <c r="AE62" i="12" s="1"/>
  <c r="AB62" i="12"/>
  <c r="AD62" i="12"/>
  <c r="AG62" i="12" s="1"/>
  <c r="AC76" i="12"/>
  <c r="AF76" i="12" s="1"/>
  <c r="AA76" i="12"/>
  <c r="AE76" i="12" s="1"/>
  <c r="AB76" i="12"/>
  <c r="AD76" i="12"/>
  <c r="AG76" i="12" s="1"/>
  <c r="AC72" i="12"/>
  <c r="AF72" i="12" s="1"/>
  <c r="AA72" i="12"/>
  <c r="AE72" i="12" s="1"/>
  <c r="AB72" i="12"/>
  <c r="AD72" i="12"/>
  <c r="AG72" i="12" s="1"/>
  <c r="AC68" i="12"/>
  <c r="AF68" i="12" s="1"/>
  <c r="AA68" i="12"/>
  <c r="AE68" i="12" s="1"/>
  <c r="AB68" i="12"/>
  <c r="AD68" i="12"/>
  <c r="AG68" i="12" s="1"/>
  <c r="AC64" i="12"/>
  <c r="AF64" i="12" s="1"/>
  <c r="AA64" i="12"/>
  <c r="AE64" i="12" s="1"/>
  <c r="AB64" i="12"/>
  <c r="AD64" i="12"/>
  <c r="AG64" i="12" s="1"/>
  <c r="AC77" i="12"/>
  <c r="AF77" i="12" s="1"/>
  <c r="AA77" i="12"/>
  <c r="AE77" i="12" s="1"/>
  <c r="AD77" i="12"/>
  <c r="AG77" i="12" s="1"/>
  <c r="AB77" i="12"/>
  <c r="AC75" i="12"/>
  <c r="AF75" i="12" s="1"/>
  <c r="AA75" i="12"/>
  <c r="AE75" i="12" s="1"/>
  <c r="AD75" i="12"/>
  <c r="AG75" i="12" s="1"/>
  <c r="AB75" i="12"/>
  <c r="AC73" i="12"/>
  <c r="AF73" i="12" s="1"/>
  <c r="AA73" i="12"/>
  <c r="AE73" i="12" s="1"/>
  <c r="AD73" i="12"/>
  <c r="AG73" i="12" s="1"/>
  <c r="AB73" i="12"/>
  <c r="AC71" i="12"/>
  <c r="AF71" i="12" s="1"/>
  <c r="AA71" i="12"/>
  <c r="AE71" i="12" s="1"/>
  <c r="AD71" i="12"/>
  <c r="AG71" i="12" s="1"/>
  <c r="AB71" i="12"/>
  <c r="AC69" i="12"/>
  <c r="AF69" i="12" s="1"/>
  <c r="AA69" i="12"/>
  <c r="AE69" i="12" s="1"/>
  <c r="AD69" i="12"/>
  <c r="AG69" i="12" s="1"/>
  <c r="AB69" i="12"/>
  <c r="AC67" i="12"/>
  <c r="AF67" i="12" s="1"/>
  <c r="AA67" i="12"/>
  <c r="AE67" i="12" s="1"/>
  <c r="AD67" i="12"/>
  <c r="AG67" i="12" s="1"/>
  <c r="AB67" i="12"/>
  <c r="AC65" i="12"/>
  <c r="AF65" i="12" s="1"/>
  <c r="AA65" i="12"/>
  <c r="AE65" i="12" s="1"/>
  <c r="AD65" i="12"/>
  <c r="AG65" i="12" s="1"/>
  <c r="AB65" i="12"/>
  <c r="AC63" i="12"/>
  <c r="AF63" i="12" s="1"/>
  <c r="AA63" i="12"/>
  <c r="AE63" i="12" s="1"/>
  <c r="AD63" i="12"/>
  <c r="AG63" i="12" s="1"/>
  <c r="AB63" i="12"/>
  <c r="AC9" i="12"/>
  <c r="AF9" i="12" s="1"/>
  <c r="AA9" i="12"/>
  <c r="AE9" i="12" s="1"/>
  <c r="AD9" i="12"/>
  <c r="AG9" i="12" s="1"/>
  <c r="AB9" i="12"/>
  <c r="AA11" i="18"/>
  <c r="AE11" i="18" s="1"/>
  <c r="AC11" i="18"/>
  <c r="AF11" i="18" s="1"/>
  <c r="AA13" i="18"/>
  <c r="AE13" i="18" s="1"/>
  <c r="AB11" i="18"/>
  <c r="AB13" i="18"/>
  <c r="Y9" i="18"/>
  <c r="AD9" i="18" s="1"/>
  <c r="AG9" i="18" s="1"/>
  <c r="AC84" i="14"/>
  <c r="Z79" i="14"/>
  <c r="AA163" i="14"/>
  <c r="Z163" i="14"/>
  <c r="Y163" i="14"/>
  <c r="AA121" i="14"/>
  <c r="Z121" i="14"/>
  <c r="Y121" i="14"/>
  <c r="Y100" i="14"/>
  <c r="Y79" i="14"/>
  <c r="AA79" i="14" s="1"/>
  <c r="I10" i="17"/>
  <c r="I11" i="17"/>
  <c r="I12" i="17"/>
  <c r="I13" i="17"/>
  <c r="I14" i="17"/>
  <c r="I15" i="17"/>
  <c r="I16" i="17"/>
  <c r="I17" i="17"/>
  <c r="I18" i="17"/>
  <c r="I19" i="17"/>
  <c r="I20" i="17"/>
  <c r="I9" i="17"/>
  <c r="AA10" i="18" l="1"/>
  <c r="AE10" i="18" s="1"/>
  <c r="AA14" i="18"/>
  <c r="AE14" i="18" s="1"/>
  <c r="AC12" i="18"/>
  <c r="AF12" i="18" s="1"/>
  <c r="AB12" i="18"/>
  <c r="AA12" i="18"/>
  <c r="AE12" i="18" s="1"/>
  <c r="AB10" i="18"/>
  <c r="AC14" i="18"/>
  <c r="AF14" i="18" s="1"/>
  <c r="AC10" i="18"/>
  <c r="AF10" i="18" s="1"/>
  <c r="AB14" i="18"/>
  <c r="AB19" i="19"/>
  <c r="AA19" i="19"/>
  <c r="AE19" i="19" s="1"/>
  <c r="AD19" i="19"/>
  <c r="AG19" i="19" s="1"/>
  <c r="AC19" i="19"/>
  <c r="AF19" i="19" s="1"/>
  <c r="AB29" i="19"/>
  <c r="AA29" i="19"/>
  <c r="AE29" i="19" s="1"/>
  <c r="AD29" i="19"/>
  <c r="AG29" i="19" s="1"/>
  <c r="AC29" i="19"/>
  <c r="AF29" i="19" s="1"/>
  <c r="AD17" i="19"/>
  <c r="AG17" i="19" s="1"/>
  <c r="AD15" i="19"/>
  <c r="AG15" i="19" s="1"/>
  <c r="AB15" i="19"/>
  <c r="AA15" i="19"/>
  <c r="AE15" i="19" s="1"/>
  <c r="AC15" i="19"/>
  <c r="AF15" i="19" s="1"/>
  <c r="AC21" i="19"/>
  <c r="AF21" i="19" s="1"/>
  <c r="AD21" i="19"/>
  <c r="AG21" i="19" s="1"/>
  <c r="AB21" i="19"/>
  <c r="AA21" i="19"/>
  <c r="AE21" i="19" s="1"/>
  <c r="AB24" i="19"/>
  <c r="AD11" i="19"/>
  <c r="AG11" i="19" s="1"/>
  <c r="AB11" i="19"/>
  <c r="AA11" i="19"/>
  <c r="AE11" i="19" s="1"/>
  <c r="AC11" i="19"/>
  <c r="AF11" i="19" s="1"/>
  <c r="AC13" i="19"/>
  <c r="AF13" i="19" s="1"/>
  <c r="AB13" i="19"/>
  <c r="AA13" i="19"/>
  <c r="AE13" i="19" s="1"/>
  <c r="AD13" i="19"/>
  <c r="AG13" i="19" s="1"/>
  <c r="AA16" i="19"/>
  <c r="AE16" i="19" s="1"/>
  <c r="AC27" i="19"/>
  <c r="AF27" i="19" s="1"/>
  <c r="AD27" i="19"/>
  <c r="AG27" i="19" s="1"/>
  <c r="AB27" i="19"/>
  <c r="AA27" i="19"/>
  <c r="AE27" i="19" s="1"/>
  <c r="AC23" i="19"/>
  <c r="AF23" i="19" s="1"/>
  <c r="AB23" i="19"/>
  <c r="AA23" i="19"/>
  <c r="AE23" i="19" s="1"/>
  <c r="AD23" i="19"/>
  <c r="AG23" i="19" s="1"/>
  <c r="AC9" i="18"/>
  <c r="AF9" i="18" s="1"/>
  <c r="AB9" i="18"/>
  <c r="AA9" i="18"/>
  <c r="AE9" i="18" s="1"/>
  <c r="CR48" i="12"/>
  <c r="CS48" i="12"/>
  <c r="CR49" i="12"/>
  <c r="CS49" i="12"/>
  <c r="CR50" i="12"/>
  <c r="CS50" i="12"/>
  <c r="CR51" i="12"/>
  <c r="CS51" i="12"/>
  <c r="CR52" i="12"/>
  <c r="CS52" i="12"/>
  <c r="CR53" i="12"/>
  <c r="CS53" i="12"/>
  <c r="CR54" i="12"/>
  <c r="CS54" i="12"/>
  <c r="CR56" i="12"/>
  <c r="CS56" i="12"/>
  <c r="CR57" i="12"/>
  <c r="CS57" i="12"/>
  <c r="CR58" i="12"/>
  <c r="CS58" i="12"/>
  <c r="CR59" i="12"/>
  <c r="CS59" i="12"/>
  <c r="CR60" i="12"/>
  <c r="CS60" i="12"/>
  <c r="CR61" i="12"/>
  <c r="CS61" i="12"/>
  <c r="CR62" i="12"/>
  <c r="CS62" i="12"/>
  <c r="CR63" i="12"/>
  <c r="CS63" i="12"/>
  <c r="CR65" i="12"/>
  <c r="CS65" i="12"/>
  <c r="CR66" i="12"/>
  <c r="CS66" i="12"/>
  <c r="CR67" i="12"/>
  <c r="CS67" i="12"/>
  <c r="CR68" i="12"/>
  <c r="CS68" i="12"/>
  <c r="CR69" i="12"/>
  <c r="CS69" i="12"/>
  <c r="CR70" i="12"/>
  <c r="CS70" i="12"/>
  <c r="CR71" i="12"/>
  <c r="CS71" i="12"/>
  <c r="CR72" i="12"/>
  <c r="CS72" i="12"/>
  <c r="CR47" i="12"/>
  <c r="CS47" i="12"/>
  <c r="CS18" i="12"/>
  <c r="CS19" i="12"/>
  <c r="CS20" i="12"/>
  <c r="CS21" i="12"/>
  <c r="CS22" i="12"/>
  <c r="CS23" i="12"/>
  <c r="CS24" i="12"/>
  <c r="CS25" i="12"/>
  <c r="CS27" i="12"/>
  <c r="CS28" i="12"/>
  <c r="CS29" i="12"/>
  <c r="CS30" i="12"/>
  <c r="CS31" i="12"/>
  <c r="CS32" i="12"/>
  <c r="CS33" i="12"/>
  <c r="CS34" i="12"/>
  <c r="CS36" i="12"/>
  <c r="CS37" i="12"/>
  <c r="CS38" i="12"/>
  <c r="CS39" i="12"/>
  <c r="CS40" i="12"/>
  <c r="CS41" i="12"/>
  <c r="CS42" i="12"/>
  <c r="CS43" i="12"/>
  <c r="CR19" i="12"/>
  <c r="CR20" i="12"/>
  <c r="CR21" i="12"/>
  <c r="CR22" i="12"/>
  <c r="CR23" i="12"/>
  <c r="CR24" i="12"/>
  <c r="CR25" i="12"/>
  <c r="CR27" i="12"/>
  <c r="CR28" i="12"/>
  <c r="CR29" i="12"/>
  <c r="CR30" i="12"/>
  <c r="CR31" i="12"/>
  <c r="CR32" i="12"/>
  <c r="CR33" i="12"/>
  <c r="CR34" i="12"/>
  <c r="CR36" i="12"/>
  <c r="CR37" i="12"/>
  <c r="CR38" i="12"/>
  <c r="CR39" i="12"/>
  <c r="CR40" i="12"/>
  <c r="CR41" i="12"/>
  <c r="CR42" i="12"/>
  <c r="CR43" i="12"/>
  <c r="CR18" i="12"/>
  <c r="O10" i="17" l="1"/>
  <c r="O11" i="17"/>
  <c r="O12" i="17"/>
  <c r="O13" i="17"/>
  <c r="O14" i="17"/>
  <c r="O15" i="17"/>
  <c r="O16" i="17"/>
  <c r="O17" i="17"/>
  <c r="O18" i="17"/>
  <c r="O19" i="17"/>
  <c r="O20" i="17"/>
  <c r="O22" i="17"/>
  <c r="O23" i="17"/>
  <c r="O24" i="17"/>
  <c r="O25" i="17"/>
  <c r="O26" i="17"/>
  <c r="O27" i="17"/>
  <c r="O28" i="17"/>
  <c r="O29" i="17"/>
  <c r="O30" i="17"/>
  <c r="O31" i="17"/>
  <c r="O32" i="17"/>
  <c r="O33" i="17"/>
  <c r="O9" i="17"/>
  <c r="O9" i="14"/>
  <c r="O10" i="14"/>
  <c r="O11" i="14"/>
  <c r="O12" i="14"/>
  <c r="O13" i="14"/>
  <c r="O14" i="14"/>
  <c r="O15" i="14"/>
  <c r="O16" i="14"/>
  <c r="O17" i="14"/>
  <c r="O18" i="14"/>
  <c r="O19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V33" i="14" l="1"/>
  <c r="V34" i="14" s="1"/>
  <c r="CS78" i="12" l="1"/>
  <c r="CS79" i="12"/>
  <c r="CS80" i="12"/>
  <c r="CS81" i="12"/>
  <c r="CS82" i="12"/>
  <c r="CS83" i="12"/>
  <c r="CS84" i="12"/>
  <c r="CS85" i="12"/>
  <c r="CS86" i="12"/>
  <c r="CS87" i="12"/>
  <c r="CS88" i="12"/>
  <c r="CS89" i="12"/>
  <c r="CS90" i="12"/>
  <c r="CS91" i="12"/>
  <c r="CS92" i="12"/>
  <c r="CS93" i="12"/>
  <c r="CS94" i="12"/>
  <c r="CS95" i="12"/>
  <c r="CS96" i="12"/>
  <c r="CS98" i="12"/>
  <c r="CS99" i="12"/>
  <c r="CS77" i="12"/>
  <c r="CR78" i="12"/>
  <c r="CR79" i="12"/>
  <c r="CR80" i="12"/>
  <c r="CR81" i="12"/>
  <c r="CR82" i="12"/>
  <c r="CR83" i="12"/>
  <c r="CR84" i="12"/>
  <c r="CR85" i="12"/>
  <c r="CR86" i="12"/>
  <c r="CR87" i="12"/>
  <c r="CR88" i="12"/>
  <c r="CR89" i="12"/>
  <c r="CR90" i="12"/>
  <c r="CR91" i="12"/>
  <c r="CR92" i="12"/>
  <c r="CR93" i="12"/>
  <c r="CR94" i="12"/>
  <c r="CR95" i="12"/>
  <c r="CR96" i="12"/>
  <c r="CR98" i="12"/>
  <c r="CR99" i="12"/>
  <c r="CR77" i="12"/>
  <c r="U11" i="17" l="1"/>
  <c r="U12" i="17"/>
  <c r="U13" i="17"/>
  <c r="U14" i="17"/>
  <c r="U15" i="17"/>
  <c r="U16" i="17"/>
  <c r="U17" i="17"/>
  <c r="U18" i="17"/>
  <c r="U19" i="17"/>
  <c r="U20" i="17"/>
  <c r="U21" i="17"/>
  <c r="U23" i="17"/>
  <c r="U24" i="17"/>
  <c r="U25" i="17"/>
  <c r="U26" i="17"/>
  <c r="U27" i="17"/>
  <c r="U28" i="17"/>
  <c r="U29" i="17"/>
  <c r="U30" i="17"/>
  <c r="U31" i="17"/>
  <c r="U32" i="17"/>
  <c r="U33" i="17"/>
  <c r="U34" i="17"/>
  <c r="U10" i="17"/>
  <c r="CQ99" i="12" l="1"/>
  <c r="CQ98" i="12"/>
  <c r="CQ78" i="12"/>
  <c r="CQ79" i="12"/>
  <c r="CQ80" i="12"/>
  <c r="CQ81" i="12"/>
  <c r="CQ82" i="12"/>
  <c r="CQ83" i="12"/>
  <c r="CQ84" i="12"/>
  <c r="CQ85" i="12"/>
  <c r="CQ86" i="12"/>
  <c r="CQ87" i="12"/>
  <c r="CQ88" i="12"/>
  <c r="CQ89" i="12"/>
  <c r="CQ90" i="12"/>
  <c r="CQ91" i="12"/>
  <c r="CQ92" i="12"/>
  <c r="CQ93" i="12"/>
  <c r="CQ94" i="12"/>
  <c r="CQ95" i="12"/>
  <c r="CQ96" i="12"/>
  <c r="CQ77" i="12"/>
  <c r="CQ72" i="12" l="1"/>
  <c r="CQ71" i="12"/>
  <c r="CQ70" i="12"/>
  <c r="CQ69" i="12"/>
  <c r="CQ68" i="12"/>
  <c r="CQ67" i="12"/>
  <c r="CQ66" i="12"/>
  <c r="CQ65" i="12"/>
  <c r="CQ63" i="12"/>
  <c r="CQ62" i="12"/>
  <c r="CQ61" i="12"/>
  <c r="CQ60" i="12"/>
  <c r="CQ59" i="12"/>
  <c r="CQ58" i="12"/>
  <c r="CQ57" i="12"/>
  <c r="CQ56" i="12"/>
  <c r="CQ48" i="12"/>
  <c r="CQ49" i="12"/>
  <c r="CQ50" i="12"/>
  <c r="CQ51" i="12"/>
  <c r="CQ52" i="12"/>
  <c r="CQ53" i="12"/>
  <c r="CQ54" i="12"/>
  <c r="CQ47" i="12"/>
  <c r="CQ43" i="12"/>
  <c r="CQ42" i="12"/>
  <c r="CQ41" i="12"/>
  <c r="CQ40" i="12"/>
  <c r="CQ39" i="12"/>
  <c r="CQ38" i="12"/>
  <c r="CQ37" i="12"/>
  <c r="CQ36" i="12"/>
  <c r="CQ34" i="12"/>
  <c r="CQ33" i="12"/>
  <c r="CQ32" i="12"/>
  <c r="CQ31" i="12"/>
  <c r="CQ30" i="12"/>
  <c r="CQ29" i="12"/>
  <c r="CQ28" i="12"/>
  <c r="CQ27" i="12"/>
  <c r="CQ19" i="12"/>
  <c r="CQ20" i="12"/>
  <c r="CQ21" i="12"/>
  <c r="CQ22" i="12"/>
  <c r="CQ23" i="12"/>
  <c r="CQ24" i="12"/>
  <c r="CQ25" i="12"/>
  <c r="CQ18" i="12"/>
  <c r="AF10" i="14" l="1"/>
  <c r="AA9" i="14"/>
  <c r="AB10" i="14" s="1"/>
  <c r="R9" i="14" l="1"/>
  <c r="R10" i="14"/>
  <c r="R11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R24" i="14"/>
  <c r="R25" i="14"/>
  <c r="R26" i="14"/>
  <c r="R27" i="14"/>
  <c r="R28" i="14"/>
  <c r="R29" i="14"/>
  <c r="R30" i="14"/>
  <c r="R31" i="14"/>
  <c r="R32" i="14"/>
  <c r="R33" i="14"/>
  <c r="R34" i="14"/>
  <c r="R35" i="14"/>
  <c r="R36" i="14"/>
  <c r="R37" i="14"/>
  <c r="R38" i="14"/>
  <c r="R39" i="14"/>
  <c r="R40" i="14"/>
  <c r="R41" i="14"/>
  <c r="R42" i="14"/>
  <c r="R43" i="14"/>
  <c r="R44" i="14"/>
  <c r="R45" i="14"/>
  <c r="R46" i="14"/>
  <c r="R47" i="14"/>
  <c r="R48" i="14"/>
  <c r="R49" i="14"/>
  <c r="R50" i="14"/>
  <c r="R51" i="14"/>
  <c r="R52" i="14"/>
  <c r="R53" i="14"/>
  <c r="R54" i="14"/>
  <c r="R55" i="14"/>
  <c r="R56" i="14"/>
  <c r="R57" i="14"/>
  <c r="R58" i="14"/>
  <c r="R59" i="14"/>
  <c r="R60" i="14"/>
  <c r="R61" i="14"/>
  <c r="R62" i="14"/>
  <c r="R63" i="14"/>
  <c r="R64" i="14"/>
  <c r="R65" i="14"/>
  <c r="R66" i="14"/>
  <c r="R67" i="14"/>
  <c r="R68" i="14"/>
  <c r="R69" i="14"/>
  <c r="R70" i="14"/>
  <c r="R71" i="14"/>
  <c r="R72" i="14"/>
  <c r="R73" i="14"/>
  <c r="R74" i="14"/>
  <c r="R75" i="14"/>
  <c r="R76" i="14"/>
  <c r="R77" i="14"/>
  <c r="R78" i="14"/>
  <c r="R79" i="14"/>
  <c r="R80" i="14"/>
  <c r="R81" i="14"/>
  <c r="R82" i="14"/>
  <c r="R83" i="14"/>
  <c r="R84" i="14"/>
  <c r="R85" i="14"/>
  <c r="R86" i="14"/>
  <c r="R87" i="14"/>
  <c r="R88" i="14"/>
  <c r="R89" i="14"/>
  <c r="R90" i="14"/>
  <c r="R91" i="14"/>
  <c r="R92" i="14"/>
  <c r="R93" i="14"/>
  <c r="R94" i="14"/>
  <c r="R95" i="14"/>
  <c r="R96" i="14"/>
  <c r="R97" i="14"/>
  <c r="R98" i="14"/>
  <c r="R99" i="14"/>
  <c r="R100" i="14"/>
  <c r="R101" i="14"/>
  <c r="R102" i="14"/>
  <c r="R103" i="14"/>
  <c r="R104" i="14"/>
  <c r="R105" i="14"/>
  <c r="R106" i="14"/>
  <c r="R107" i="14"/>
  <c r="R108" i="14"/>
  <c r="R109" i="14"/>
  <c r="R110" i="14"/>
  <c r="R111" i="14"/>
  <c r="R112" i="14"/>
  <c r="R113" i="14"/>
  <c r="R114" i="14"/>
  <c r="R115" i="14"/>
  <c r="R116" i="14"/>
  <c r="R117" i="14"/>
  <c r="R118" i="14"/>
  <c r="R119" i="14"/>
  <c r="R120" i="14"/>
  <c r="R121" i="14"/>
  <c r="R122" i="14"/>
  <c r="R123" i="14"/>
  <c r="R124" i="14"/>
  <c r="R125" i="14"/>
  <c r="R126" i="14"/>
  <c r="R127" i="14"/>
  <c r="R8" i="14"/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<sst xmlns="http://schemas.openxmlformats.org/spreadsheetml/2006/main" count="3280" uniqueCount="372">
  <si>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</si>
  <si>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</si>
  <si>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</si>
  <si>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</si>
  <si>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</si>
  <si>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</si>
  <si>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</si>
  <si>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</si>
  <si>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</si>
  <si>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</si>
  <si>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</si>
  <si>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</si>
  <si>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</si>
  <si>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</si>
  <si>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</si>
  <si>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</si>
  <si>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</si>
  <si>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</si>
  <si>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</si>
  <si>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</si>
  <si>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</si>
  <si>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</si>
  <si>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</si>
  <si>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</si>
  <si>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</si>
  <si>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</si>
  <si>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</si>
  <si>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</si>
  <si>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</si>
  <si>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</si>
  <si>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</si>
  <si>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</si>
  <si>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</si>
  <si>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</si>
  <si>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</si>
  <si>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</si>
  <si>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</si>
  <si>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</si>
  <si>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</si>
  <si>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</si>
  <si>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</si>
  <si>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</si>
  <si>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</si>
  <si>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</si>
  <si>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</si>
  <si>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</si>
  <si>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</si>
  <si>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</si>
  <si>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</si>
  <si>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</si>
  <si>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</si>
  <si>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</si>
  <si>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</si>
  <si>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</si>
  <si>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</si>
  <si>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</si>
  <si>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</si>
  <si>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</si>
  <si>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</si>
  <si>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</si>
  <si>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</si>
  <si>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</si>
  <si>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</si>
  <si>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</si>
  <si>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</si>
  <si>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</si>
  <si>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</si>
  <si>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</si>
  <si>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</si>
  <si>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</si>
  <si>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</si>
  <si>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</si>
  <si>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</si>
  <si>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</si>
  <si>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</si>
  <si>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</si>
  <si>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</si>
  <si>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</si>
  <si>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</si>
  <si>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</si>
  <si>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</si>
  <si>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</si>
  <si>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</si>
  <si>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</si>
  <si>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</si>
  <si>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</si>
  <si>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</si>
  <si>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</si>
  <si>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</si>
  <si>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</si>
  <si>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</si>
  <si>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</si>
  <si>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</si>
  <si>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</si>
  <si>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</si>
  <si>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</si>
  <si>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</si>
  <si>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</si>
  <si>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</si>
  <si>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</si>
  <si>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Base Infectivity</t>
  </si>
  <si>
    <t>Base_Infectivity</t>
  </si>
  <si>
    <t>Circumcision Reduced Acquire</t>
  </si>
  <si>
    <t>Circumcision_Reduced_Acquire</t>
  </si>
  <si>
    <t>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</si>
  <si>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</si>
  <si>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</si>
  <si>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</si>
  <si>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</si>
  <si>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</si>
  <si>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</si>
  <si>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</si>
  <si>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</si>
  <si>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</si>
  <si>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</si>
  <si>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</si>
  <si>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[15:50)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</si>
  <si>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</si>
  <si>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</si>
  <si>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</si>
  <si>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</si>
  <si>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</si>
  <si>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</si>
  <si>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</si>
  <si>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</si>
  <si>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[5:10)</t>
  </si>
  <si>
    <t>[10:15)</t>
  </si>
  <si>
    <t>[55:60)</t>
  </si>
  <si>
    <t>Sexual Debut Age Female Weibull Scale</t>
  </si>
  <si>
    <t>Sexual_Debut_Age_Female_Weibull_Scale</t>
  </si>
  <si>
    <t>Sexual Debut Age Female Weibull Heterogeneity</t>
  </si>
  <si>
    <t>Sexual_Debut_Age_Female_Weibull_Heterogeneity</t>
  </si>
  <si>
    <t>Sexual Debut Age Male Weibull Scale</t>
  </si>
  <si>
    <t>Sexual_Debut_Age_Male_Weibull_Scale</t>
  </si>
  <si>
    <t>Sexual Debut Age Male Weibull Heterogeneity</t>
  </si>
  <si>
    <t>Sexual_Debut_Age_Male_Weibull_Heterogeneity</t>
  </si>
  <si>
    <t>Male To Female Young</t>
  </si>
  <si>
    <t>Male To Female Old</t>
  </si>
  <si>
    <t>Risk Assortivity</t>
  </si>
  <si>
    <t>OnART</t>
  </si>
  <si>
    <t>Trns Form Rate</t>
  </si>
  <si>
    <t>Mrtl Form Rate</t>
  </si>
  <si>
    <t>Mrtl Condom Mid</t>
  </si>
  <si>
    <t>Mrtl Condom Rate</t>
  </si>
  <si>
    <t>Trns Condom Rate</t>
  </si>
  <si>
    <t>Infrml Condom Mid</t>
  </si>
  <si>
    <t>Infrml Condom Rate</t>
  </si>
  <si>
    <t>Pr Ex Trns Male LOW</t>
  </si>
  <si>
    <t>Pr Ex Trns Male MED</t>
  </si>
  <si>
    <t>Pr Ex Trns Fem LOW</t>
  </si>
  <si>
    <t>Pr Ex Trns Fem MED</t>
  </si>
  <si>
    <t>Max Trns M LOW</t>
  </si>
  <si>
    <t>Max Trns F LOW</t>
  </si>
  <si>
    <t>Max Trns F MED</t>
  </si>
  <si>
    <t>Max Infmrl M MED</t>
  </si>
  <si>
    <t>Max Infmrl F MED</t>
  </si>
  <si>
    <t>Max Mrtl M ME</t>
  </si>
  <si>
    <t>Max Mrtl F ME</t>
  </si>
  <si>
    <t>Infrml Dur Het</t>
  </si>
  <si>
    <t>PreART Link Min</t>
  </si>
  <si>
    <t>PreART Link Max</t>
  </si>
  <si>
    <t>PreART Link Mid</t>
  </si>
  <si>
    <t>ART Link Max</t>
  </si>
  <si>
    <t>ART Link Mid</t>
  </si>
  <si>
    <t>Society__KP_Defaults.TRANSITORY.Pair_Formation_Parameters.Formation_Rate_Constant</t>
  </si>
  <si>
    <t>Society__KP_Defaults.INFORMAL.Pair_Formation_Parameters.Formation_Rate_Constant</t>
  </si>
  <si>
    <t>Society__KP_Defaults.MARITAL.Pair_Formation_Parameters.Formation_Rate_Constant</t>
  </si>
  <si>
    <t>Society__KP_Defaults.TRANSITORY.Relationship_Parameters.Condom_Usage_Probability.Mid</t>
  </si>
  <si>
    <t>Society__KP_Defaults.TRANSITORY.Relationship_Parameters.Condom_Usage_Probability.Rate</t>
  </si>
  <si>
    <t>Society__KP_Defaults.TRANSITORY.Relationship_Parameters.Condom_Usage_Probability.Max</t>
  </si>
  <si>
    <t>Society__KP_Defaults.INFORMAL.Relationship_Parameters.Condom_Usage_Probability.Mid</t>
  </si>
  <si>
    <t>Society__KP_Defaults.INFORMAL.Relationship_Parameters.Condom_Usage_Probability.Rate</t>
  </si>
  <si>
    <t>Society__KP_Defaults.INFORMAL.Relationship_Parameters.Condom_Usage_Probability.Max</t>
  </si>
  <si>
    <t>Society__KP_Defaults.MARITAL.Relationship_Parameters.Condom_Usage_Probability.Mid</t>
  </si>
  <si>
    <t>Society__KP_Defaults.MARITAL.Relationship_Parameters.Condom_Usage_Probability.Rate</t>
  </si>
  <si>
    <t>Society__KP_Defaults.MARITAL.Relationship_Parameters.Condom_Usage_Probability.Max</t>
  </si>
  <si>
    <t>Society__KP_Defaults_All_Nodes.TRANSITORY.Concurrency_Parameters.LOW.Prob_Extra_Relationship_Male</t>
  </si>
  <si>
    <t>Society__KP_Defaults_All_Nodes.TRANSITORY.Concurrency_Parameters.MEDIUM.Prob_Extra_Relationship_Male</t>
  </si>
  <si>
    <t>Society__KP_Defaults_All_Nodes.TRANSITORY.Concurrency_Parameters.LOW.Prob_Extra_Relationship_Female</t>
  </si>
  <si>
    <t>Society__KP_Defaults_All_Nodes.TRANSITORY.Concurrency_Parameters.MEDIUM.Prob_Extra_Relationship_Female</t>
  </si>
  <si>
    <t>Society__KP_Defaults_All_Nodes.INFORMAL.Concurrency_Parameters.LOW.Prob_Extra_Relationship_Male</t>
  </si>
  <si>
    <t>Society__KP_Defaults_All_Nodes.TRANSITORY.Concurrency_Parameters.LOW.Max_Simultaneous_Relationships_Male</t>
  </si>
  <si>
    <t>Society__KP_Defaults_All_Nodes.TRANSITORY.Concurrency_Parameters.LOW.Max_Simultaneous_Relationships_Female</t>
  </si>
  <si>
    <t>Society__KP_Defaults_All_Nodes.INFORMAL.Concurrency_Parameters.LOW.Max_Simultaneous_Relationships_Male</t>
  </si>
  <si>
    <t>Society__KP_Defaults_All_Nodes.INFORMAL.Concurrency_Parameters.LOW.Max_Simultaneous_Relationships_Female</t>
  </si>
  <si>
    <t>Society__KP_Defaults_All_Nodes.INFORMAL.Concurrency_Parameters.MEDIUM.Prob_Extra_Relationship_Male</t>
  </si>
  <si>
    <t>Society__KP_Defaults_All_Nodes.INFORMAL.Concurrency_Parameters.MEDIUM.Prob_Extra_Relationship_Female</t>
  </si>
  <si>
    <t>Society__KP_Defaults_All_Nodes.TRANSITORY.Concurrency_Parameters.MEDIUM.Max_Simultaneous_Relationships_Male</t>
  </si>
  <si>
    <t>Society__KP_Defaults_All_Nodes.TRANSITORY.Concurrency_Parameters.MEDIUM.Max_Simultaneous_Relationships_Female</t>
  </si>
  <si>
    <t>Society__KP_Defaults_All_Nodes.INFORMAL.Concurrency_Parameters.MEDIUM.Max_Simultaneous_Relationships_Male</t>
  </si>
  <si>
    <t>Society__KP_Defaults_All_Nodes.INFORMAL.Concurrency_Parameters.MEDIUM.Max_Simultaneous_Relationships_Female</t>
  </si>
  <si>
    <t>Society__KP_Defaults_All_Nodes.MARITAL.Concurrency_Parameters.MEDIUM.Max_Simultaneous_Relationships_Male</t>
  </si>
  <si>
    <t>Society__KP_Defaults_All_Nodes.MARITAL.Concurrency_Parameters.MEDIUM.Max_Simultaneous_Relationships_Female</t>
  </si>
  <si>
    <t>Society__KP_Defaults.INFORMAL.Relationship_Parameters.Duration_Weibull_Heterogeneity</t>
  </si>
  <si>
    <t>Actual_IndividualIntervention_Config__KP_PreART_Link.Ramp_MidYear</t>
  </si>
  <si>
    <t>Actual_IndividualIntervention_Config__KP_ART_Link.Ramp_Max</t>
  </si>
  <si>
    <t>Actual_IndividualIntervention_Config__KP_ART_Link.Ramp_MidYear</t>
  </si>
  <si>
    <t>[0:5)</t>
  </si>
  <si>
    <t>Infmrl Form Rate</t>
  </si>
  <si>
    <t>Infmrl Condoms Late</t>
  </si>
  <si>
    <t>Pr Ex Infmrl Male LOW</t>
  </si>
  <si>
    <t>Pr Ex Infmrl Fem LOW</t>
  </si>
  <si>
    <t>Max Infmrl M LOW</t>
  </si>
  <si>
    <t>Max Infmrl F LOW</t>
  </si>
  <si>
    <t>Pr Ex Infmrl Male MED</t>
  </si>
  <si>
    <t>Pr Ex Infmrl Fem MED</t>
  </si>
  <si>
    <t>Max Trns M MED</t>
  </si>
  <si>
    <t>Trns Condom Mid</t>
  </si>
  <si>
    <t>SeedYr HIGH</t>
  </si>
  <si>
    <t>Start_Year__KP_Seeding_Year</t>
  </si>
  <si>
    <t>National</t>
  </si>
  <si>
    <t xml:space="preserve"> </t>
  </si>
  <si>
    <t>Trns Condom Max</t>
  </si>
  <si>
    <t>Mrtl Condom Late</t>
  </si>
  <si>
    <t>Malawi</t>
  </si>
  <si>
    <t>[60:65)</t>
  </si>
  <si>
    <t>[65:70)</t>
  </si>
  <si>
    <t>0-4</t>
  </si>
  <si>
    <t>5-9</t>
  </si>
  <si>
    <t>10-14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</si>
  <si>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</si>
  <si>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</si>
  <si>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</si>
  <si>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</si>
  <si>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</si>
  <si>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</si>
  <si>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</si>
  <si>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</si>
  <si>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</si>
  <si>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</si>
  <si>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65-69</t>
  </si>
  <si>
    <t>70-74</t>
  </si>
  <si>
    <t>75-79</t>
  </si>
  <si>
    <t>80-84</t>
  </si>
  <si>
    <t>85-89</t>
  </si>
  <si>
    <t>90-94</t>
  </si>
  <si>
    <t>95+</t>
  </si>
  <si>
    <t>Female &lt;1 yr</t>
  </si>
  <si>
    <t>Number</t>
  </si>
  <si>
    <t>Female 1-4 yr</t>
  </si>
  <si>
    <t>Female 5-9 yr</t>
  </si>
  <si>
    <t>Female 10-14 yr</t>
  </si>
  <si>
    <t>Female 15-19 yr</t>
  </si>
  <si>
    <t>Female 20-24 yr</t>
  </si>
  <si>
    <t>Female 25-29 yr</t>
  </si>
  <si>
    <t>Female 30-34 yr</t>
  </si>
  <si>
    <t>Female 35-39 yr</t>
  </si>
  <si>
    <t>Female 40-44 yr</t>
  </si>
  <si>
    <t>Female 45-49 yr</t>
  </si>
  <si>
    <t>Female 50-54 yr</t>
  </si>
  <si>
    <t>Female 55-59 yr</t>
  </si>
  <si>
    <t>Female 60-64 yr</t>
  </si>
  <si>
    <t>Female 65-69 yr</t>
  </si>
  <si>
    <t>Male &lt;1 yr</t>
  </si>
  <si>
    <t>Male 1-4 yr</t>
  </si>
  <si>
    <t>Male 5-9 yr</t>
  </si>
  <si>
    <t>Male 10-14 yr</t>
  </si>
  <si>
    <t>Male 15-19 yr</t>
  </si>
  <si>
    <t>Male 20-24 yr</t>
  </si>
  <si>
    <t>Male 25-29 yr</t>
  </si>
  <si>
    <t>Male 30-34 yr</t>
  </si>
  <si>
    <t>Male 35-39 yr</t>
  </si>
  <si>
    <t>Male 40-44 yr</t>
  </si>
  <si>
    <t>Male 45-49 yr</t>
  </si>
  <si>
    <t>Male 50-54 yr</t>
  </si>
  <si>
    <t>Male 55-59 yr</t>
  </si>
  <si>
    <t>Male 60-64 yr</t>
  </si>
  <si>
    <t>Male 65-69 yr</t>
  </si>
  <si>
    <t>WOMEN</t>
  </si>
  <si>
    <t>Survey</t>
  </si>
  <si>
    <t>HIV prevalence among women</t>
  </si>
  <si>
    <t>2015-16 DHS</t>
  </si>
  <si>
    <t>Age (5-year groups) : 15-19</t>
  </si>
  <si>
    <t>Age (5-year groups) : 20-24</t>
  </si>
  <si>
    <t>Age (5-year groups) : 25-29</t>
  </si>
  <si>
    <t>Age (5-year groups) : 30-34</t>
  </si>
  <si>
    <t>Age (5-year groups) : 35-39</t>
  </si>
  <si>
    <t>Age (5-year groups) : 40-44</t>
  </si>
  <si>
    <t>Age (5-year groups) : 45-49</t>
  </si>
  <si>
    <t>Total 15-49</t>
  </si>
  <si>
    <t>2010 DHS</t>
  </si>
  <si>
    <t>2004 DHS</t>
  </si>
  <si>
    <t>DHS</t>
  </si>
  <si>
    <t>HIV prevalence among men</t>
  </si>
  <si>
    <t xml:space="preserve">Male </t>
  </si>
  <si>
    <t xml:space="preserve">DHS  </t>
  </si>
  <si>
    <t xml:space="preserve">  </t>
  </si>
  <si>
    <t>Weight later years more?</t>
  </si>
  <si>
    <t>MPHIA 2015</t>
  </si>
  <si>
    <t>Males</t>
  </si>
  <si>
    <t>Age groups (5-year)</t>
  </si>
  <si>
    <t>15-19 years</t>
  </si>
  <si>
    <t>20-24 years</t>
  </si>
  <si>
    <t>25-29 years</t>
  </si>
  <si>
    <t>30-34 years</t>
  </si>
  <si>
    <t>35-39 years</t>
  </si>
  <si>
    <t>40-44 years</t>
  </si>
  <si>
    <t>45-49 years</t>
  </si>
  <si>
    <t>50-54 years</t>
  </si>
  <si>
    <t>55-59 years</t>
  </si>
  <si>
    <t>60-64 years</t>
  </si>
  <si>
    <t>Females</t>
  </si>
  <si>
    <t>MPHIA data</t>
  </si>
  <si>
    <t>Incidence</t>
  </si>
  <si>
    <t>ARTCoverage</t>
  </si>
  <si>
    <t>[15:25)</t>
  </si>
  <si>
    <t>[25:35)</t>
  </si>
  <si>
    <t>[35:50)</t>
  </si>
  <si>
    <t>Total number receiving ART (15+) - (mid-year)</t>
  </si>
  <si>
    <t>Male - (mid-year)</t>
  </si>
  <si>
    <t>Female - (mid-year)</t>
  </si>
  <si>
    <t>Total number receiving ART (15-64) - (mid-year)</t>
  </si>
  <si>
    <t>SPECTRUM data adjusted by the ratio of population*HIV prevalence from MPHIA since SPECTRUM using a much lower HIV incidence</t>
  </si>
  <si>
    <t>[15:65)</t>
  </si>
  <si>
    <t>lower</t>
  </si>
  <si>
    <t>upper</t>
  </si>
  <si>
    <t>Northern</t>
  </si>
  <si>
    <t>Central</t>
  </si>
  <si>
    <t>Total</t>
  </si>
  <si>
    <t>Less than 1 Year</t>
  </si>
  <si>
    <t>1-4</t>
  </si>
  <si>
    <t>90+</t>
  </si>
  <si>
    <t>NORTHERN</t>
  </si>
  <si>
    <t>MALE</t>
  </si>
  <si>
    <t>FEMALE</t>
  </si>
  <si>
    <t>Southern</t>
  </si>
  <si>
    <t>[70:75)</t>
  </si>
  <si>
    <t>[75:80)</t>
  </si>
  <si>
    <t>[80:85)</t>
  </si>
  <si>
    <t>[85:90)</t>
  </si>
  <si>
    <t>[90:100)</t>
  </si>
  <si>
    <t>estimate</t>
  </si>
  <si>
    <t xml:space="preserve"> Northern</t>
  </si>
  <si>
    <t xml:space="preserve"> Central</t>
  </si>
  <si>
    <t xml:space="preserve"> Southern</t>
  </si>
  <si>
    <t>Southern: Trns Condoms Late</t>
  </si>
  <si>
    <t>Society__KP_Southern.TRANSITORY.Relationship_Parameters.Condom_Usage_Probability.Max</t>
  </si>
  <si>
    <t>Southern: Infmrl Condoms Late</t>
  </si>
  <si>
    <t>Society__KP_Southern.INFORMAL.Relationship_Parameters.Condom_Usage_Probability.Max</t>
  </si>
  <si>
    <t>Southern: LOW Risk</t>
  </si>
  <si>
    <t>Northern: Trns Condoms Late</t>
  </si>
  <si>
    <t>Northern: Infmrl Condoms Late</t>
  </si>
  <si>
    <t>Northern: LOW Risk</t>
  </si>
  <si>
    <t>Society__KP_Northern.TRANSITORY.Relationship_Parameters.Condom_Usage_Probability.Max</t>
  </si>
  <si>
    <t>Society__KP_Northern.INFORMAL.Relationship_Parameters.Condom_Usage_Probability.Max</t>
  </si>
  <si>
    <t>Central: Trns Condoms Late</t>
  </si>
  <si>
    <t>Central: Infmrl Condoms Late</t>
  </si>
  <si>
    <t>Central: LOW Risk</t>
  </si>
  <si>
    <t>Society__KP_Central.TRANSITORY.Relationship_Parameters.Condom_Usage_Probability.Max</t>
  </si>
  <si>
    <t>Society__KP_Central.INFORMAL.Relationship_Parameters.Condom_Usage_Probability.Max</t>
  </si>
  <si>
    <t>mean</t>
  </si>
  <si>
    <t>All</t>
  </si>
  <si>
    <t xml:space="preserve">Total </t>
  </si>
  <si>
    <t>Alpha</t>
  </si>
  <si>
    <t>Mean</t>
  </si>
  <si>
    <t>Median</t>
  </si>
  <si>
    <t>Lower</t>
  </si>
  <si>
    <t>Upper</t>
  </si>
  <si>
    <t>15-49 years</t>
  </si>
  <si>
    <t>point est</t>
  </si>
  <si>
    <t>Div by 100</t>
  </si>
  <si>
    <t>Best-fit values of beta distr</t>
  </si>
  <si>
    <t>Data from survey (per 100 PY)</t>
  </si>
  <si>
    <t>Data from survey (per 100 PLHIV)</t>
  </si>
  <si>
    <t>% diff between survey-reported Cis and beta distr</t>
  </si>
  <si>
    <t>Data from survey (per 100 pop)</t>
  </si>
  <si>
    <t>Total weight</t>
  </si>
  <si>
    <t>Source: Malawi PHIA</t>
  </si>
  <si>
    <t>https://phia-data.icap.columbia.edu/visualization/table?countries[]=6&amp;indicators[]=37&amp;subindicators[]=88&amp;subindicators[]=89&amp;subindicators[]=90&amp;age_ranges[]=2&amp;genders[]=3&amp;genders[]=1&amp;genders[]=2&amp;stratification_categories[]=12</t>
  </si>
  <si>
    <t>Source: Malawi MoH via SPECTRUM template</t>
  </si>
  <si>
    <t>Demographic Coverage</t>
  </si>
  <si>
    <t>Demographic_Coverage__KP_Demographic_Coverage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</si>
</sst>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7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Lucida Grande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EDF5FB"/>
      </patternFill>
    </fill>
    <fill>
      <patternFill patternType="solid">
        <fgColor rgb="FFFFFFFF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4" fillId="0" borderId="0"/>
    <xf numFmtId="164" fontId="4" fillId="0" borderId="0" applyFont="0" applyFill="0" applyBorder="0" applyAlignment="0" applyProtection="0"/>
  </cellStyleXfs>
  <cellXfs count="51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3" xfId="0" applyFill="1" applyBorder="1"/>
    <xf numFmtId="0" fontId="0" fillId="3" borderId="4" xfId="0" applyFill="1" applyBorder="1"/>
    <xf numFmtId="0" fontId="0" fillId="2" borderId="4" xfId="0" applyFill="1" applyBorder="1"/>
    <xf numFmtId="0" fontId="0" fillId="0" borderId="5" xfId="0" applyFill="1" applyBorder="1"/>
    <xf numFmtId="0" fontId="2" fillId="0" borderId="5" xfId="0" applyFont="1" applyFill="1" applyBorder="1"/>
    <xf numFmtId="0" fontId="0" fillId="10" borderId="6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6" xfId="0" applyFill="1" applyBorder="1" applyProtection="1">
      <protection locked="0"/>
    </xf>
    <xf numFmtId="0" fontId="0" fillId="12" borderId="6" xfId="0" applyFill="1" applyBorder="1" applyProtection="1">
      <protection locked="0"/>
    </xf>
    <xf numFmtId="0" fontId="0" fillId="12" borderId="6" xfId="0" applyFill="1" applyBorder="1" applyProtection="1"/>
    <xf numFmtId="0" fontId="5" fillId="13" borderId="0" xfId="0" applyFont="1" applyFill="1" applyBorder="1" applyAlignment="1" applyProtection="1">
      <alignment horizontal="center"/>
      <protection locked="0"/>
    </xf>
    <xf numFmtId="0" fontId="4" fillId="14" borderId="0" xfId="0" applyFont="1" applyFill="1" applyBorder="1" applyAlignment="1" applyProtection="1">
      <alignment horizontal="right"/>
      <protection locked="0"/>
    </xf>
    <xf numFmtId="0" fontId="0" fillId="0" borderId="0" xfId="0" applyNumberFormat="1" applyProtection="1">
      <protection locked="0"/>
    </xf>
    <xf numFmtId="0" fontId="0" fillId="0" borderId="0" xfId="0" applyFont="1" applyProtection="1">
      <protection locked="0"/>
    </xf>
    <xf numFmtId="0" fontId="6" fillId="0" borderId="0" xfId="0" applyFont="1" applyProtection="1">
      <protection locked="0"/>
    </xf>
  </cellXfs>
  <cellStyles count="3">
    <cellStyle name="Comma 2" xfId="2" xr:uid="{00000000-0005-0000-0000-000000000000}"/>
    <cellStyle name="Normal" xfId="0" builtinId="0"/>
    <cellStyle name="Normal 2" xfId="1" xr:uid="{00000000-0005-0000-0000-000002000000}"/>
  </cellStyles>
  <dxfs count="60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63500</xdr:colOff>
          <xdr:row>0</xdr:row>
          <xdr:rowOff>139700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24577" name="Entry grid creation button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9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745" name="Entry grid creation button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769" name="Entry grid creation button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baseColWidth="10" defaultColWidth="8.83203125" defaultRowHeight="15" x14ac:dyDescent="0.2"/>
  <cols>
    <col min="1" max="1" width="24.5" bestFit="1" customWidth="1"/>
    <col min="2" max="2" width="19.33203125" customWidth="1"/>
    <col min="4" max="4" width="22.6640625" bestFit="1" customWidth="1"/>
  </cols>
  <sheetData>
    <row r="1" spans="1:8" ht="16" x14ac:dyDescent="0.2">
      <c r="A1" s="23" t="s">
        <v>6</v>
      </c>
      <c r="B1" s="24"/>
      <c r="E1" s="9" t="s">
        <v>64</v>
      </c>
      <c r="F1" s="9"/>
      <c r="G1" s="9">
        <v>0.3</v>
      </c>
    </row>
    <row r="2" spans="1:8" x14ac:dyDescent="0.2">
      <c r="A2" s="25" t="s">
        <v>8</v>
      </c>
      <c r="B2" s="24" t="s">
        <v>12</v>
      </c>
      <c r="C2" s="14" t="s">
        <v>10</v>
      </c>
    </row>
    <row r="3" spans="1:8" x14ac:dyDescent="0.2">
      <c r="A3" s="25" t="s">
        <v>7</v>
      </c>
      <c r="B3" s="24" t="s">
        <v>12</v>
      </c>
    </row>
    <row r="4" spans="1:8" x14ac:dyDescent="0.2">
      <c r="A4" s="25" t="s">
        <v>9</v>
      </c>
      <c r="B4" s="24"/>
      <c r="C4" s="16" t="s">
        <v>40</v>
      </c>
    </row>
    <row r="5" spans="1:8" x14ac:dyDescent="0.2">
      <c r="A5" s="25" t="s">
        <v>25</v>
      </c>
      <c r="B5" s="24"/>
      <c r="C5" s="1" t="s">
        <v>27</v>
      </c>
    </row>
    <row r="6" spans="1:8" x14ac:dyDescent="0.2">
      <c r="A6" s="25" t="s">
        <v>26</v>
      </c>
      <c r="B6" s="24"/>
      <c r="C6" s="1" t="s">
        <v>27</v>
      </c>
    </row>
    <row r="8" spans="1:8" x14ac:dyDescent="0.2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2">
      <c r="A10" s="15" t="s">
        <v>39</v>
      </c>
    </row>
    <row r="11" spans="1:8" x14ac:dyDescent="0.2">
      <c r="A11" s="3" t="s">
        <v>35</v>
      </c>
      <c r="B11" s="3">
        <f>COUNTIF('Model Parameters'!B2:B87, FALSE)</f>
        <v>1</v>
      </c>
      <c r="C11" s="14" t="s">
        <v>37</v>
      </c>
    </row>
    <row r="12" spans="1:8" x14ac:dyDescent="0.2">
      <c r="A12" s="3" t="s">
        <v>36</v>
      </c>
      <c r="B12" s="3">
        <f>COUNTIF('Model Parameters'!B2:B87, TRUE)</f>
        <v>55</v>
      </c>
    </row>
    <row r="13" spans="1:8" x14ac:dyDescent="0.2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59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M12"/>
  <sheetViews>
    <sheetView workbookViewId="0">
      <selection activeCell="B39" sqref="A39:B39"/>
    </sheetView>
  </sheetViews>
  <sheetFormatPr baseColWidth="10" defaultColWidth="8.83203125" defaultRowHeight="15" x14ac:dyDescent="0.2"/>
  <cols>
    <col min="1" max="1" width="12.5" bestFit="1" customWidth="1"/>
    <col min="2" max="2" width="16.5" customWidth="1"/>
  </cols>
  <sheetData>
    <row r="1" spans="1:13" x14ac:dyDescent="0.2">
      <c r="A1" s="16" t="s">
        <v>90</v>
      </c>
    </row>
    <row r="2" spans="1:13" x14ac:dyDescent="0.2">
      <c r="A2" s="16" t="s">
        <v>92</v>
      </c>
    </row>
    <row r="3" spans="1:13" x14ac:dyDescent="0.2">
      <c r="A3" s="16" t="s">
        <v>94</v>
      </c>
    </row>
    <row r="4" spans="1:13" x14ac:dyDescent="0.2">
      <c r="A4" s="16" t="s">
        <v>91</v>
      </c>
    </row>
    <row r="5" spans="1:13" x14ac:dyDescent="0.2">
      <c r="A5" s="16" t="s">
        <v>99</v>
      </c>
    </row>
    <row r="6" spans="1:13" x14ac:dyDescent="0.2">
      <c r="A6" s="16"/>
    </row>
    <row r="7" spans="1:13" x14ac:dyDescent="0.2">
      <c r="A7" s="11" t="s">
        <v>93</v>
      </c>
      <c r="B7" s="5" t="s">
        <v>214</v>
      </c>
    </row>
    <row r="8" spans="1:13" x14ac:dyDescent="0.2">
      <c r="A8" s="9" t="s">
        <v>85</v>
      </c>
      <c r="B8" s="6">
        <v>8258624</v>
      </c>
    </row>
    <row r="9" spans="1:13" x14ac:dyDescent="0.2">
      <c r="A9" s="9" t="s">
        <v>86</v>
      </c>
      <c r="B9" s="7">
        <v>2018</v>
      </c>
    </row>
    <row r="10" spans="1:13" x14ac:dyDescent="0.2">
      <c r="A10" s="9" t="s">
        <v>87</v>
      </c>
      <c r="B10" s="6" t="s">
        <v>116</v>
      </c>
    </row>
    <row r="11" spans="1:13" x14ac:dyDescent="0.2">
      <c r="A11" s="9" t="s">
        <v>88</v>
      </c>
      <c r="B11" s="7">
        <v>1</v>
      </c>
      <c r="C11" s="7">
        <v>2</v>
      </c>
      <c r="D11" s="7">
        <v>3</v>
      </c>
      <c r="E11" s="7"/>
      <c r="F11" s="7"/>
      <c r="G11" s="7"/>
      <c r="H11" s="7"/>
      <c r="I11" s="7"/>
      <c r="J11" s="7"/>
      <c r="K11" s="7"/>
      <c r="L11" s="7"/>
      <c r="M11" s="7"/>
    </row>
    <row r="12" spans="1:13" x14ac:dyDescent="0.2">
      <c r="A12" s="9" t="s">
        <v>89</v>
      </c>
      <c r="B12" s="4" t="s">
        <v>316</v>
      </c>
      <c r="C12" s="4" t="s">
        <v>317</v>
      </c>
      <c r="D12" s="4" t="s">
        <v>325</v>
      </c>
      <c r="E12" s="4"/>
      <c r="F12" s="4"/>
      <c r="G12" s="4"/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J87"/>
  <sheetViews>
    <sheetView zoomScale="160" zoomScaleNormal="160" workbookViewId="0">
      <selection activeCell="F4" sqref="F4"/>
    </sheetView>
  </sheetViews>
  <sheetFormatPr baseColWidth="10" defaultColWidth="8.83203125" defaultRowHeight="15" x14ac:dyDescent="0.2"/>
  <cols>
    <col min="1" max="1" width="37.83203125" customWidth="1"/>
    <col min="3" max="3" width="10.83203125" bestFit="1" customWidth="1"/>
    <col min="6" max="6" width="104.33203125" customWidth="1"/>
    <col min="7" max="7" width="43.5" bestFit="1" customWidth="1"/>
  </cols>
  <sheetData>
    <row r="1" spans="1:10" x14ac:dyDescent="0.2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10" x14ac:dyDescent="0.2">
      <c r="A2" s="4" t="s">
        <v>208</v>
      </c>
      <c r="B2" s="5" t="b">
        <v>1</v>
      </c>
      <c r="C2" s="4">
        <v>1985</v>
      </c>
      <c r="D2" s="5">
        <v>1970</v>
      </c>
      <c r="E2" s="4">
        <v>1993</v>
      </c>
      <c r="F2" s="5" t="s">
        <v>209</v>
      </c>
      <c r="G2" s="16"/>
    </row>
    <row r="3" spans="1:10" x14ac:dyDescent="0.2">
      <c r="A3" s="4" t="s">
        <v>100</v>
      </c>
      <c r="B3" s="5" t="b">
        <v>1</v>
      </c>
      <c r="C3" s="4">
        <v>6.4650999999999999E-4</v>
      </c>
      <c r="D3" s="5">
        <v>1E-4</v>
      </c>
      <c r="E3" s="4">
        <v>4.0000000000000001E-3</v>
      </c>
      <c r="F3" s="5" t="s">
        <v>101</v>
      </c>
      <c r="G3" s="16"/>
      <c r="H3" s="16"/>
      <c r="I3" s="16"/>
      <c r="J3" s="16"/>
    </row>
    <row r="4" spans="1:10" x14ac:dyDescent="0.2">
      <c r="A4" s="4" t="s">
        <v>370</v>
      </c>
      <c r="B4" s="5" t="b">
        <v>1</v>
      </c>
      <c r="C4" s="4">
        <v>0.01</v>
      </c>
      <c r="D4" s="5">
        <v>1E-3</v>
      </c>
      <c r="E4" s="4">
        <v>0.1</v>
      </c>
      <c r="F4" s="5" t="s">
        <v>371</v>
      </c>
      <c r="G4" s="16"/>
      <c r="H4" s="16"/>
      <c r="I4" s="16"/>
      <c r="J4" s="16"/>
    </row>
    <row r="5" spans="1:10" x14ac:dyDescent="0.2">
      <c r="A5" s="4" t="s">
        <v>102</v>
      </c>
      <c r="B5" s="5" t="b">
        <v>0</v>
      </c>
      <c r="C5" s="4">
        <v>0.6</v>
      </c>
      <c r="D5" s="5">
        <v>0.4</v>
      </c>
      <c r="E5" s="4">
        <v>0.9</v>
      </c>
      <c r="F5" s="5" t="s">
        <v>103</v>
      </c>
      <c r="G5" s="16"/>
    </row>
    <row r="6" spans="1:10" x14ac:dyDescent="0.2">
      <c r="A6" s="4" t="s">
        <v>128</v>
      </c>
      <c r="B6" s="5" t="b">
        <v>1</v>
      </c>
      <c r="C6" s="4">
        <v>15.919650000000001</v>
      </c>
      <c r="D6" s="5">
        <v>15</v>
      </c>
      <c r="E6" s="4">
        <v>20</v>
      </c>
      <c r="F6" s="5" t="s">
        <v>129</v>
      </c>
      <c r="G6" s="16"/>
    </row>
    <row r="7" spans="1:10" x14ac:dyDescent="0.2">
      <c r="A7" s="4" t="s">
        <v>130</v>
      </c>
      <c r="B7" s="5" t="b">
        <v>1</v>
      </c>
      <c r="C7" s="4">
        <v>0.05</v>
      </c>
      <c r="D7" s="5">
        <v>0.01</v>
      </c>
      <c r="E7" s="4">
        <v>0.3</v>
      </c>
      <c r="F7" s="5" t="s">
        <v>131</v>
      </c>
      <c r="G7" s="16"/>
    </row>
    <row r="8" spans="1:10" x14ac:dyDescent="0.2">
      <c r="A8" s="4" t="s">
        <v>132</v>
      </c>
      <c r="B8" s="5" t="b">
        <v>1</v>
      </c>
      <c r="C8" s="4">
        <v>16.9467</v>
      </c>
      <c r="D8" s="5">
        <v>16</v>
      </c>
      <c r="E8" s="4">
        <v>20</v>
      </c>
      <c r="F8" s="5" t="s">
        <v>133</v>
      </c>
      <c r="G8" s="16"/>
    </row>
    <row r="9" spans="1:10" x14ac:dyDescent="0.2">
      <c r="A9" s="4" t="s">
        <v>134</v>
      </c>
      <c r="B9" s="5" t="b">
        <v>1</v>
      </c>
      <c r="C9" s="4">
        <v>0.05</v>
      </c>
      <c r="D9" s="5">
        <v>0.01</v>
      </c>
      <c r="E9" s="4">
        <v>0.3</v>
      </c>
      <c r="F9" s="5" t="s">
        <v>135</v>
      </c>
      <c r="G9" s="16"/>
    </row>
    <row r="10" spans="1:10" x14ac:dyDescent="0.2">
      <c r="A10" s="4" t="s">
        <v>140</v>
      </c>
      <c r="B10" s="5" t="b">
        <v>1</v>
      </c>
      <c r="C10" s="4">
        <v>1.04784E-3</v>
      </c>
      <c r="D10" s="5">
        <v>1.37E-4</v>
      </c>
      <c r="E10" s="4">
        <v>2.7399999999999998E-3</v>
      </c>
      <c r="F10" s="5" t="s">
        <v>164</v>
      </c>
      <c r="G10" s="17"/>
    </row>
    <row r="11" spans="1:10" x14ac:dyDescent="0.2">
      <c r="A11" s="4" t="s">
        <v>198</v>
      </c>
      <c r="B11" s="5" t="b">
        <v>1</v>
      </c>
      <c r="C11" s="22">
        <v>1.0841068999999999E-3</v>
      </c>
      <c r="D11" s="21">
        <v>9.1324200913241998E-5</v>
      </c>
      <c r="E11" s="4">
        <v>2.7397260273972599E-3</v>
      </c>
      <c r="F11" s="5" t="s">
        <v>165</v>
      </c>
    </row>
    <row r="12" spans="1:10" x14ac:dyDescent="0.2">
      <c r="A12" s="4" t="s">
        <v>141</v>
      </c>
      <c r="B12" s="5" t="b">
        <v>1</v>
      </c>
      <c r="C12" s="22">
        <v>9.2765437660219301E-5</v>
      </c>
      <c r="D12" s="21">
        <v>5.47945205479452E-5</v>
      </c>
      <c r="E12" s="4">
        <v>1.7397260273972599E-4</v>
      </c>
      <c r="F12" s="5" t="s">
        <v>166</v>
      </c>
    </row>
    <row r="13" spans="1:10" x14ac:dyDescent="0.2">
      <c r="A13" s="4" t="s">
        <v>136</v>
      </c>
      <c r="B13" s="5" t="b">
        <v>1</v>
      </c>
      <c r="C13" s="4">
        <v>4.5675999999999997</v>
      </c>
      <c r="D13" s="5">
        <v>1</v>
      </c>
      <c r="E13" s="4">
        <v>5</v>
      </c>
      <c r="F13" s="5"/>
    </row>
    <row r="14" spans="1:10" x14ac:dyDescent="0.2">
      <c r="A14" s="4" t="s">
        <v>137</v>
      </c>
      <c r="B14" s="5" t="b">
        <v>1</v>
      </c>
      <c r="C14" s="4">
        <v>1.8070278799999999</v>
      </c>
      <c r="D14" s="5">
        <v>1</v>
      </c>
      <c r="E14" s="4">
        <v>5</v>
      </c>
      <c r="F14" s="5"/>
      <c r="G14" t="s">
        <v>211</v>
      </c>
    </row>
    <row r="15" spans="1:10" x14ac:dyDescent="0.2">
      <c r="A15" s="4" t="s">
        <v>207</v>
      </c>
      <c r="B15" s="5" t="b">
        <v>1</v>
      </c>
      <c r="C15" s="4">
        <v>2006.3329995924</v>
      </c>
      <c r="D15" s="5">
        <v>1990</v>
      </c>
      <c r="E15" s="4">
        <v>2010</v>
      </c>
      <c r="F15" s="5" t="s">
        <v>167</v>
      </c>
    </row>
    <row r="16" spans="1:10" x14ac:dyDescent="0.2">
      <c r="A16" s="4" t="s">
        <v>144</v>
      </c>
      <c r="B16" s="5" t="b">
        <v>1</v>
      </c>
      <c r="C16" s="4">
        <v>3</v>
      </c>
      <c r="D16" s="5">
        <v>0</v>
      </c>
      <c r="E16" s="4">
        <v>4</v>
      </c>
      <c r="F16" s="5" t="s">
        <v>168</v>
      </c>
    </row>
    <row r="17" spans="1:6" x14ac:dyDescent="0.2">
      <c r="A17" s="4" t="s">
        <v>212</v>
      </c>
      <c r="B17" s="5" t="b">
        <v>1</v>
      </c>
      <c r="C17" s="4">
        <v>0.4093379311</v>
      </c>
      <c r="D17" s="5">
        <v>0</v>
      </c>
      <c r="E17" s="4">
        <v>0.6</v>
      </c>
      <c r="F17" s="5" t="s">
        <v>169</v>
      </c>
    </row>
    <row r="18" spans="1:6" x14ac:dyDescent="0.2">
      <c r="A18" s="4" t="s">
        <v>145</v>
      </c>
      <c r="B18" s="5" t="b">
        <v>1</v>
      </c>
      <c r="C18" s="4">
        <v>1998.5140953411001</v>
      </c>
      <c r="D18" s="5">
        <v>1990</v>
      </c>
      <c r="E18" s="4">
        <v>2010</v>
      </c>
      <c r="F18" s="5" t="s">
        <v>170</v>
      </c>
    </row>
    <row r="19" spans="1:6" x14ac:dyDescent="0.2">
      <c r="A19" s="4" t="s">
        <v>146</v>
      </c>
      <c r="B19" s="5" t="b">
        <v>1</v>
      </c>
      <c r="C19" s="4">
        <v>1.4303827593</v>
      </c>
      <c r="D19" s="5">
        <v>0</v>
      </c>
      <c r="E19" s="4">
        <v>3</v>
      </c>
      <c r="F19" s="5" t="s">
        <v>171</v>
      </c>
    </row>
    <row r="20" spans="1:6" x14ac:dyDescent="0.2">
      <c r="A20" s="4" t="s">
        <v>199</v>
      </c>
      <c r="B20" s="5" t="b">
        <v>1</v>
      </c>
      <c r="C20" s="4">
        <v>0.32762938520000001</v>
      </c>
      <c r="D20" s="5">
        <v>0</v>
      </c>
      <c r="E20" s="4">
        <v>0.4</v>
      </c>
      <c r="F20" s="5" t="s">
        <v>172</v>
      </c>
    </row>
    <row r="21" spans="1:6" x14ac:dyDescent="0.2">
      <c r="A21" s="4" t="s">
        <v>142</v>
      </c>
      <c r="B21" s="5" t="b">
        <v>1</v>
      </c>
      <c r="C21" s="4">
        <v>1997.7147536263999</v>
      </c>
      <c r="D21" s="5">
        <v>1990</v>
      </c>
      <c r="E21" s="4">
        <v>2010</v>
      </c>
      <c r="F21" s="5" t="s">
        <v>173</v>
      </c>
    </row>
    <row r="22" spans="1:6" x14ac:dyDescent="0.2">
      <c r="A22" s="4" t="s">
        <v>143</v>
      </c>
      <c r="B22" s="5" t="b">
        <v>1</v>
      </c>
      <c r="C22" s="4">
        <v>2.8631895000999998</v>
      </c>
      <c r="D22" s="5">
        <v>1</v>
      </c>
      <c r="E22" s="4">
        <v>5</v>
      </c>
      <c r="F22" s="5" t="s">
        <v>174</v>
      </c>
    </row>
    <row r="23" spans="1:6" x14ac:dyDescent="0.2">
      <c r="A23" s="4" t="s">
        <v>213</v>
      </c>
      <c r="B23" s="5" t="b">
        <v>1</v>
      </c>
      <c r="C23" s="4">
        <v>0.22346764399999999</v>
      </c>
      <c r="D23" s="5">
        <v>0</v>
      </c>
      <c r="E23" s="4">
        <v>0.3</v>
      </c>
      <c r="F23" s="5" t="s">
        <v>175</v>
      </c>
    </row>
    <row r="24" spans="1:6" x14ac:dyDescent="0.2">
      <c r="A24" s="4" t="s">
        <v>138</v>
      </c>
      <c r="B24" s="5" t="b">
        <v>1</v>
      </c>
      <c r="C24" s="4">
        <v>0.57073080108491603</v>
      </c>
      <c r="D24" s="5">
        <v>0.1</v>
      </c>
      <c r="E24" s="4">
        <v>0.9</v>
      </c>
      <c r="F24" s="5"/>
    </row>
    <row r="25" spans="1:6" x14ac:dyDescent="0.2">
      <c r="A25" s="4" t="s">
        <v>147</v>
      </c>
      <c r="B25" s="5" t="b">
        <v>1</v>
      </c>
      <c r="C25" s="4">
        <v>0.259776922326166</v>
      </c>
      <c r="D25" s="5">
        <v>0</v>
      </c>
      <c r="E25" s="4">
        <v>0.5</v>
      </c>
      <c r="F25" s="5" t="s">
        <v>176</v>
      </c>
    </row>
    <row r="26" spans="1:6" x14ac:dyDescent="0.2">
      <c r="A26" s="4" t="s">
        <v>148</v>
      </c>
      <c r="B26" s="5" t="b">
        <v>1</v>
      </c>
      <c r="C26" s="4">
        <v>0.58763420607197403</v>
      </c>
      <c r="D26" s="5">
        <v>0</v>
      </c>
      <c r="E26" s="4">
        <v>0.8</v>
      </c>
      <c r="F26" s="5" t="s">
        <v>177</v>
      </c>
    </row>
    <row r="27" spans="1:6" x14ac:dyDescent="0.2">
      <c r="A27" s="4" t="s">
        <v>149</v>
      </c>
      <c r="B27" s="5" t="b">
        <v>1</v>
      </c>
      <c r="C27" s="4">
        <v>0.13701492442451901</v>
      </c>
      <c r="D27" s="5">
        <v>0</v>
      </c>
      <c r="E27" s="4">
        <v>0.25</v>
      </c>
      <c r="F27" s="5" t="s">
        <v>178</v>
      </c>
    </row>
    <row r="28" spans="1:6" x14ac:dyDescent="0.2">
      <c r="A28" s="4" t="s">
        <v>150</v>
      </c>
      <c r="B28" s="5" t="b">
        <v>1</v>
      </c>
      <c r="C28" s="4">
        <v>0.58373162348898</v>
      </c>
      <c r="D28" s="5">
        <v>0</v>
      </c>
      <c r="E28" s="4">
        <v>0.8</v>
      </c>
      <c r="F28" s="5" t="s">
        <v>179</v>
      </c>
    </row>
    <row r="29" spans="1:6" x14ac:dyDescent="0.2">
      <c r="A29" s="4" t="s">
        <v>200</v>
      </c>
      <c r="B29" s="5" t="b">
        <v>1</v>
      </c>
      <c r="C29" s="4">
        <v>0.37086485516189799</v>
      </c>
      <c r="D29" s="5">
        <v>0</v>
      </c>
      <c r="E29" s="4">
        <v>0.7</v>
      </c>
      <c r="F29" s="5" t="s">
        <v>180</v>
      </c>
    </row>
    <row r="30" spans="1:6" x14ac:dyDescent="0.2">
      <c r="A30" s="4" t="s">
        <v>201</v>
      </c>
      <c r="B30" s="5" t="b">
        <v>1</v>
      </c>
      <c r="C30" s="4">
        <v>9.9999999999999995E-7</v>
      </c>
      <c r="D30" s="5">
        <v>0</v>
      </c>
      <c r="E30" s="4">
        <v>0.5</v>
      </c>
      <c r="F30" s="5" t="s">
        <v>180</v>
      </c>
    </row>
    <row r="31" spans="1:6" x14ac:dyDescent="0.2">
      <c r="A31" s="4" t="s">
        <v>151</v>
      </c>
      <c r="B31" s="5" t="b">
        <v>1</v>
      </c>
      <c r="C31" s="4">
        <v>1.50091396049074</v>
      </c>
      <c r="D31" s="5">
        <v>0.9</v>
      </c>
      <c r="E31" s="4">
        <v>2</v>
      </c>
      <c r="F31" s="5" t="s">
        <v>181</v>
      </c>
    </row>
    <row r="32" spans="1:6" x14ac:dyDescent="0.2">
      <c r="A32" s="4" t="s">
        <v>152</v>
      </c>
      <c r="B32" s="5" t="b">
        <v>1</v>
      </c>
      <c r="C32" s="4">
        <v>1.50091396049074</v>
      </c>
      <c r="D32" s="5">
        <v>0.9</v>
      </c>
      <c r="E32" s="4">
        <v>2</v>
      </c>
      <c r="F32" s="5" t="s">
        <v>182</v>
      </c>
    </row>
    <row r="33" spans="1:6" x14ac:dyDescent="0.2">
      <c r="A33" s="4" t="s">
        <v>202</v>
      </c>
      <c r="B33" s="5" t="b">
        <v>1</v>
      </c>
      <c r="C33" s="4">
        <v>0.91568842742491696</v>
      </c>
      <c r="D33" s="5">
        <v>0.6</v>
      </c>
      <c r="E33" s="4">
        <v>2</v>
      </c>
      <c r="F33" s="5" t="s">
        <v>183</v>
      </c>
    </row>
    <row r="34" spans="1:6" x14ac:dyDescent="0.2">
      <c r="A34" s="4" t="s">
        <v>203</v>
      </c>
      <c r="B34" s="5" t="b">
        <v>1</v>
      </c>
      <c r="C34" s="4">
        <v>0.91568842742491696</v>
      </c>
      <c r="D34" s="5">
        <v>0.6</v>
      </c>
      <c r="E34" s="4">
        <v>2</v>
      </c>
      <c r="F34" s="5" t="s">
        <v>184</v>
      </c>
    </row>
    <row r="35" spans="1:6" x14ac:dyDescent="0.2">
      <c r="A35" s="4" t="s">
        <v>204</v>
      </c>
      <c r="B35" s="5" t="b">
        <v>1</v>
      </c>
      <c r="C35" s="4">
        <v>0.53276521816462297</v>
      </c>
      <c r="D35" s="5">
        <v>0</v>
      </c>
      <c r="E35" s="4">
        <v>1</v>
      </c>
      <c r="F35" s="5" t="s">
        <v>185</v>
      </c>
    </row>
    <row r="36" spans="1:6" x14ac:dyDescent="0.2">
      <c r="A36" s="4" t="s">
        <v>205</v>
      </c>
      <c r="B36" s="5" t="b">
        <v>1</v>
      </c>
      <c r="C36" s="4">
        <v>0.39942859326457297</v>
      </c>
      <c r="D36" s="5">
        <v>0</v>
      </c>
      <c r="E36" s="4">
        <v>1</v>
      </c>
      <c r="F36" s="5" t="s">
        <v>186</v>
      </c>
    </row>
    <row r="37" spans="1:6" x14ac:dyDescent="0.2">
      <c r="A37" s="4" t="s">
        <v>206</v>
      </c>
      <c r="B37" s="5" t="b">
        <v>1</v>
      </c>
      <c r="C37" s="4">
        <v>2.7383686829433498</v>
      </c>
      <c r="D37" s="5">
        <v>0.9</v>
      </c>
      <c r="E37" s="4">
        <v>3.5</v>
      </c>
      <c r="F37" s="5" t="s">
        <v>187</v>
      </c>
    </row>
    <row r="38" spans="1:6" x14ac:dyDescent="0.2">
      <c r="A38" s="4" t="s">
        <v>153</v>
      </c>
      <c r="B38" s="5" t="b">
        <v>1</v>
      </c>
      <c r="C38" s="4">
        <v>2.7383686829433498</v>
      </c>
      <c r="D38" s="5">
        <v>0.9</v>
      </c>
      <c r="E38" s="4">
        <v>3.5</v>
      </c>
      <c r="F38" s="5" t="s">
        <v>188</v>
      </c>
    </row>
    <row r="39" spans="1:6" x14ac:dyDescent="0.2">
      <c r="A39" s="4" t="s">
        <v>154</v>
      </c>
      <c r="B39" s="5" t="b">
        <v>1</v>
      </c>
      <c r="C39" s="4">
        <v>1.6052017936446099</v>
      </c>
      <c r="D39" s="5">
        <v>1</v>
      </c>
      <c r="E39" s="4">
        <v>2.5</v>
      </c>
      <c r="F39" s="5" t="s">
        <v>189</v>
      </c>
    </row>
    <row r="40" spans="1:6" x14ac:dyDescent="0.2">
      <c r="A40" s="4" t="s">
        <v>155</v>
      </c>
      <c r="B40" s="5" t="b">
        <v>1</v>
      </c>
      <c r="C40" s="4">
        <v>1.6052017936446099</v>
      </c>
      <c r="D40" s="5">
        <v>1</v>
      </c>
      <c r="E40" s="4">
        <v>2.5</v>
      </c>
      <c r="F40" s="5" t="s">
        <v>190</v>
      </c>
    </row>
    <row r="41" spans="1:6" x14ac:dyDescent="0.2">
      <c r="A41" s="4" t="s">
        <v>156</v>
      </c>
      <c r="B41" s="5" t="b">
        <v>1</v>
      </c>
      <c r="C41" s="4">
        <v>1.1000000000000001</v>
      </c>
      <c r="D41" s="5">
        <v>0.9</v>
      </c>
      <c r="E41" s="4">
        <v>2</v>
      </c>
      <c r="F41" s="5" t="s">
        <v>191</v>
      </c>
    </row>
    <row r="42" spans="1:6" x14ac:dyDescent="0.2">
      <c r="A42" s="4" t="s">
        <v>157</v>
      </c>
      <c r="B42" s="5" t="b">
        <v>1</v>
      </c>
      <c r="C42" s="4">
        <v>1.1000000000000001</v>
      </c>
      <c r="D42" s="5">
        <v>0.9</v>
      </c>
      <c r="E42" s="4">
        <v>2</v>
      </c>
      <c r="F42" s="5" t="s">
        <v>192</v>
      </c>
    </row>
    <row r="43" spans="1:6" x14ac:dyDescent="0.2">
      <c r="A43" s="4" t="s">
        <v>158</v>
      </c>
      <c r="B43" s="5" t="b">
        <v>1</v>
      </c>
      <c r="C43" s="4">
        <v>0.75</v>
      </c>
      <c r="D43" s="5">
        <v>1E-4</v>
      </c>
      <c r="E43" s="4">
        <v>0.99990000000000001</v>
      </c>
      <c r="F43" s="5" t="s">
        <v>193</v>
      </c>
    </row>
    <row r="44" spans="1:6" x14ac:dyDescent="0.2">
      <c r="A44" s="4" t="s">
        <v>335</v>
      </c>
      <c r="B44" s="5" t="b">
        <v>1</v>
      </c>
      <c r="C44" s="4">
        <v>0.73084427380000072</v>
      </c>
      <c r="D44" s="5">
        <v>0.4</v>
      </c>
      <c r="E44" s="4">
        <v>0.8</v>
      </c>
      <c r="F44" s="5" t="s">
        <v>336</v>
      </c>
    </row>
    <row r="45" spans="1:6" x14ac:dyDescent="0.2">
      <c r="A45" s="4" t="s">
        <v>337</v>
      </c>
      <c r="B45" s="5" t="b">
        <v>1</v>
      </c>
      <c r="C45" s="4">
        <v>0.52695615925599959</v>
      </c>
      <c r="D45" s="5">
        <v>0.3</v>
      </c>
      <c r="E45" s="4">
        <v>0.6</v>
      </c>
      <c r="F45" s="5" t="s">
        <v>338</v>
      </c>
    </row>
    <row r="46" spans="1:6" x14ac:dyDescent="0.2">
      <c r="A46" s="4" t="s">
        <v>339</v>
      </c>
      <c r="B46" s="5" t="b">
        <v>1</v>
      </c>
      <c r="C46" s="4">
        <v>0.37411927990800031</v>
      </c>
      <c r="D46" s="5">
        <v>0.2</v>
      </c>
      <c r="E46" s="4">
        <v>0.5</v>
      </c>
      <c r="F46" s="5"/>
    </row>
    <row r="47" spans="1:6" x14ac:dyDescent="0.2">
      <c r="A47" s="4" t="s">
        <v>340</v>
      </c>
      <c r="B47" s="5" t="b">
        <v>1</v>
      </c>
      <c r="C47" s="4">
        <v>0.73084427380000072</v>
      </c>
      <c r="D47" s="5">
        <v>0.4</v>
      </c>
      <c r="E47" s="4">
        <v>0.8</v>
      </c>
      <c r="F47" s="5" t="s">
        <v>343</v>
      </c>
    </row>
    <row r="48" spans="1:6" x14ac:dyDescent="0.2">
      <c r="A48" s="4" t="s">
        <v>341</v>
      </c>
      <c r="B48" s="5" t="b">
        <v>1</v>
      </c>
      <c r="C48" s="4">
        <v>0.52695615925599959</v>
      </c>
      <c r="D48" s="5">
        <v>0.3</v>
      </c>
      <c r="E48" s="4">
        <v>0.6</v>
      </c>
      <c r="F48" s="5" t="s">
        <v>344</v>
      </c>
    </row>
    <row r="49" spans="1:6" x14ac:dyDescent="0.2">
      <c r="A49" s="4" t="s">
        <v>342</v>
      </c>
      <c r="B49" s="5" t="b">
        <v>1</v>
      </c>
      <c r="C49" s="4">
        <v>0.37411927990800031</v>
      </c>
      <c r="D49" s="5">
        <v>0.2</v>
      </c>
      <c r="E49" s="4">
        <v>0.5</v>
      </c>
      <c r="F49" s="5"/>
    </row>
    <row r="50" spans="1:6" x14ac:dyDescent="0.2">
      <c r="A50" s="4" t="s">
        <v>345</v>
      </c>
      <c r="B50" s="5" t="b">
        <v>1</v>
      </c>
      <c r="C50" s="4">
        <v>0.73084427380000072</v>
      </c>
      <c r="D50" s="5">
        <v>0.4</v>
      </c>
      <c r="E50" s="4">
        <v>0.8</v>
      </c>
      <c r="F50" s="5" t="s">
        <v>348</v>
      </c>
    </row>
    <row r="51" spans="1:6" x14ac:dyDescent="0.2">
      <c r="A51" s="4" t="s">
        <v>346</v>
      </c>
      <c r="B51" s="5" t="b">
        <v>1</v>
      </c>
      <c r="C51" s="4">
        <v>0.52695615925599959</v>
      </c>
      <c r="D51" s="5">
        <v>0.3</v>
      </c>
      <c r="E51" s="4">
        <v>0.6</v>
      </c>
      <c r="F51" s="5" t="s">
        <v>349</v>
      </c>
    </row>
    <row r="52" spans="1:6" x14ac:dyDescent="0.2">
      <c r="A52" s="4" t="s">
        <v>347</v>
      </c>
      <c r="B52" s="5" t="b">
        <v>1</v>
      </c>
      <c r="C52" s="4">
        <v>0.37411927990800031</v>
      </c>
      <c r="D52" s="5">
        <v>0.2</v>
      </c>
      <c r="E52" s="4">
        <v>0.5</v>
      </c>
      <c r="F52" s="5"/>
    </row>
    <row r="53" spans="1:6" x14ac:dyDescent="0.2">
      <c r="A53" s="4" t="s">
        <v>159</v>
      </c>
      <c r="B53" s="5" t="b">
        <v>1</v>
      </c>
      <c r="C53" s="4">
        <v>0.46</v>
      </c>
      <c r="D53" s="5">
        <v>0</v>
      </c>
      <c r="E53" s="4">
        <v>1</v>
      </c>
      <c r="F53" s="5"/>
    </row>
    <row r="54" spans="1:6" x14ac:dyDescent="0.2">
      <c r="A54" s="4" t="s">
        <v>160</v>
      </c>
      <c r="B54" s="5" t="b">
        <v>1</v>
      </c>
      <c r="C54" s="4">
        <v>0.7</v>
      </c>
      <c r="D54" s="5">
        <v>0</v>
      </c>
      <c r="E54" s="4">
        <v>1</v>
      </c>
      <c r="F54" s="5"/>
    </row>
    <row r="55" spans="1:6" x14ac:dyDescent="0.2">
      <c r="A55" s="4" t="s">
        <v>161</v>
      </c>
      <c r="B55" s="5" t="b">
        <v>1</v>
      </c>
      <c r="C55" s="4">
        <v>2002</v>
      </c>
      <c r="D55" s="5">
        <v>1995</v>
      </c>
      <c r="E55" s="4">
        <v>2010</v>
      </c>
      <c r="F55" s="5" t="s">
        <v>194</v>
      </c>
    </row>
    <row r="56" spans="1:6" x14ac:dyDescent="0.2">
      <c r="A56" s="4" t="s">
        <v>162</v>
      </c>
      <c r="B56" s="5" t="b">
        <v>1</v>
      </c>
      <c r="C56" s="4">
        <v>0.9</v>
      </c>
      <c r="D56" s="5">
        <v>0</v>
      </c>
      <c r="E56" s="4">
        <v>1</v>
      </c>
      <c r="F56" s="5" t="s">
        <v>195</v>
      </c>
    </row>
    <row r="57" spans="1:6" x14ac:dyDescent="0.2">
      <c r="A57" s="4" t="s">
        <v>163</v>
      </c>
      <c r="B57" s="5" t="b">
        <v>1</v>
      </c>
      <c r="C57" s="4">
        <v>2005</v>
      </c>
      <c r="D57" s="5">
        <v>1995</v>
      </c>
      <c r="E57" s="4">
        <v>2012</v>
      </c>
      <c r="F57" s="5" t="s">
        <v>196</v>
      </c>
    </row>
    <row r="58" spans="1:6" x14ac:dyDescent="0.2">
      <c r="A58" s="4"/>
      <c r="B58" s="5" t="s">
        <v>12</v>
      </c>
      <c r="C58" s="4"/>
      <c r="D58" s="5"/>
      <c r="E58" s="4"/>
      <c r="F58" s="5"/>
    </row>
    <row r="59" spans="1:6" x14ac:dyDescent="0.2">
      <c r="A59" s="4"/>
      <c r="B59" s="5" t="s">
        <v>12</v>
      </c>
      <c r="C59" s="4"/>
      <c r="D59" s="5"/>
      <c r="E59" s="4"/>
      <c r="F59" s="5"/>
    </row>
    <row r="60" spans="1:6" x14ac:dyDescent="0.2">
      <c r="A60" s="4"/>
      <c r="B60" s="5" t="s">
        <v>12</v>
      </c>
      <c r="C60" s="4"/>
      <c r="D60" s="5"/>
      <c r="E60" s="4"/>
      <c r="F60" s="5"/>
    </row>
    <row r="61" spans="1:6" x14ac:dyDescent="0.2">
      <c r="A61" s="4"/>
      <c r="B61" s="5" t="s">
        <v>12</v>
      </c>
      <c r="C61" s="4"/>
      <c r="D61" s="5"/>
      <c r="E61" s="4"/>
      <c r="F61" s="5"/>
    </row>
    <row r="62" spans="1:6" x14ac:dyDescent="0.2">
      <c r="A62" s="4"/>
      <c r="B62" s="5" t="s">
        <v>12</v>
      </c>
      <c r="C62" s="4"/>
      <c r="D62" s="5"/>
      <c r="E62" s="4"/>
      <c r="F62" s="5"/>
    </row>
    <row r="63" spans="1:6" x14ac:dyDescent="0.2">
      <c r="A63" s="4"/>
      <c r="B63" s="5" t="s">
        <v>12</v>
      </c>
      <c r="C63" s="4"/>
      <c r="D63" s="5"/>
      <c r="E63" s="4"/>
      <c r="F63" s="5"/>
    </row>
    <row r="64" spans="1:6" x14ac:dyDescent="0.2">
      <c r="A64" s="4"/>
      <c r="B64" s="5" t="s">
        <v>12</v>
      </c>
      <c r="C64" s="4"/>
      <c r="D64" s="5"/>
      <c r="E64" s="4"/>
      <c r="F64" s="5"/>
    </row>
    <row r="65" spans="1:6" x14ac:dyDescent="0.2">
      <c r="A65" s="4"/>
      <c r="B65" s="5" t="s">
        <v>12</v>
      </c>
      <c r="C65" s="4"/>
      <c r="D65" s="5"/>
      <c r="E65" s="4"/>
      <c r="F65" s="5"/>
    </row>
    <row r="66" spans="1:6" x14ac:dyDescent="0.2">
      <c r="A66" s="4"/>
      <c r="B66" s="5" t="s">
        <v>12</v>
      </c>
      <c r="C66" s="4"/>
      <c r="D66" s="5"/>
      <c r="E66" s="4"/>
      <c r="F66" s="5"/>
    </row>
    <row r="67" spans="1:6" x14ac:dyDescent="0.2">
      <c r="A67" s="4"/>
      <c r="B67" s="5" t="s">
        <v>12</v>
      </c>
      <c r="C67" s="4"/>
      <c r="D67" s="5"/>
      <c r="E67" s="4"/>
      <c r="F67" s="5"/>
    </row>
    <row r="68" spans="1:6" x14ac:dyDescent="0.2">
      <c r="A68" s="4"/>
      <c r="B68" s="5" t="s">
        <v>12</v>
      </c>
      <c r="C68" s="4"/>
      <c r="D68" s="5"/>
      <c r="E68" s="4"/>
      <c r="F68" s="5"/>
    </row>
    <row r="69" spans="1:6" x14ac:dyDescent="0.2">
      <c r="A69" s="4"/>
      <c r="B69" s="5" t="s">
        <v>12</v>
      </c>
      <c r="C69" s="4"/>
      <c r="D69" s="5"/>
      <c r="E69" s="4"/>
      <c r="F69" s="5"/>
    </row>
    <row r="70" spans="1:6" x14ac:dyDescent="0.2">
      <c r="A70" s="4"/>
      <c r="B70" s="5" t="s">
        <v>12</v>
      </c>
      <c r="C70" s="4"/>
      <c r="D70" s="5"/>
      <c r="E70" s="4"/>
      <c r="F70" s="5"/>
    </row>
    <row r="71" spans="1:6" x14ac:dyDescent="0.2">
      <c r="A71" s="4"/>
      <c r="B71" s="5" t="s">
        <v>12</v>
      </c>
      <c r="C71" s="4"/>
      <c r="D71" s="5"/>
      <c r="E71" s="4"/>
      <c r="F71" s="5"/>
    </row>
    <row r="72" spans="1:6" x14ac:dyDescent="0.2">
      <c r="A72" s="4"/>
      <c r="B72" s="5" t="s">
        <v>12</v>
      </c>
      <c r="C72" s="4"/>
      <c r="D72" s="5"/>
      <c r="E72" s="4"/>
      <c r="F72" s="5"/>
    </row>
    <row r="73" spans="1:6" x14ac:dyDescent="0.2">
      <c r="A73" s="4"/>
      <c r="B73" s="5" t="s">
        <v>12</v>
      </c>
      <c r="C73" s="4"/>
      <c r="D73" s="5"/>
      <c r="E73" s="4"/>
      <c r="F73" s="5"/>
    </row>
    <row r="74" spans="1:6" x14ac:dyDescent="0.2">
      <c r="A74" s="4"/>
      <c r="B74" s="5" t="s">
        <v>12</v>
      </c>
      <c r="C74" s="4"/>
      <c r="D74" s="5"/>
      <c r="E74" s="4"/>
      <c r="F74" s="5"/>
    </row>
    <row r="75" spans="1:6" x14ac:dyDescent="0.2">
      <c r="A75" s="4"/>
      <c r="B75" s="5" t="s">
        <v>12</v>
      </c>
      <c r="C75" s="4"/>
      <c r="D75" s="5"/>
      <c r="E75" s="4"/>
      <c r="F75" s="5"/>
    </row>
    <row r="76" spans="1:6" x14ac:dyDescent="0.2">
      <c r="A76" s="4"/>
      <c r="B76" s="5" t="s">
        <v>12</v>
      </c>
      <c r="C76" s="4"/>
      <c r="D76" s="5"/>
      <c r="E76" s="4"/>
      <c r="F76" s="5"/>
    </row>
    <row r="77" spans="1:6" x14ac:dyDescent="0.2">
      <c r="A77" s="4"/>
      <c r="B77" s="5" t="s">
        <v>12</v>
      </c>
      <c r="C77" s="4"/>
      <c r="D77" s="5"/>
      <c r="E77" s="4"/>
      <c r="F77" s="5"/>
    </row>
    <row r="78" spans="1:6" x14ac:dyDescent="0.2">
      <c r="A78" s="4"/>
      <c r="B78" s="5" t="s">
        <v>12</v>
      </c>
      <c r="C78" s="4"/>
      <c r="D78" s="5"/>
      <c r="E78" s="4"/>
      <c r="F78" s="5"/>
    </row>
    <row r="79" spans="1:6" x14ac:dyDescent="0.2">
      <c r="A79" s="4"/>
      <c r="B79" s="5" t="s">
        <v>12</v>
      </c>
      <c r="C79" s="4"/>
      <c r="D79" s="5"/>
      <c r="E79" s="4"/>
      <c r="F79" s="5"/>
    </row>
    <row r="80" spans="1:6" x14ac:dyDescent="0.2">
      <c r="A80" s="4"/>
      <c r="B80" s="5" t="s">
        <v>12</v>
      </c>
      <c r="C80" s="4"/>
      <c r="D80" s="5"/>
      <c r="E80" s="4"/>
      <c r="F80" s="5"/>
    </row>
    <row r="81" spans="1:6" x14ac:dyDescent="0.2">
      <c r="A81" s="4"/>
      <c r="B81" s="5" t="s">
        <v>12</v>
      </c>
      <c r="C81" s="4"/>
      <c r="D81" s="5"/>
      <c r="E81" s="4"/>
      <c r="F81" s="5"/>
    </row>
    <row r="82" spans="1:6" x14ac:dyDescent="0.2">
      <c r="A82" s="4"/>
      <c r="B82" s="5" t="s">
        <v>12</v>
      </c>
      <c r="C82" s="4"/>
      <c r="D82" s="5"/>
      <c r="E82" s="4"/>
      <c r="F82" s="5"/>
    </row>
    <row r="83" spans="1:6" x14ac:dyDescent="0.2">
      <c r="A83" s="4"/>
      <c r="B83" s="5" t="s">
        <v>12</v>
      </c>
      <c r="C83" s="4"/>
      <c r="D83" s="5"/>
      <c r="E83" s="4"/>
      <c r="F83" s="5"/>
    </row>
    <row r="84" spans="1:6" x14ac:dyDescent="0.2">
      <c r="A84" s="4"/>
      <c r="B84" s="5" t="s">
        <v>12</v>
      </c>
      <c r="C84" s="4"/>
      <c r="D84" s="5"/>
      <c r="E84" s="4"/>
      <c r="F84" s="5"/>
    </row>
    <row r="85" spans="1:6" x14ac:dyDescent="0.2">
      <c r="A85" s="4"/>
      <c r="B85" s="5" t="s">
        <v>12</v>
      </c>
      <c r="C85" s="4"/>
      <c r="D85" s="5"/>
      <c r="E85" s="4"/>
      <c r="F85" s="5"/>
    </row>
    <row r="86" spans="1:6" x14ac:dyDescent="0.2">
      <c r="A86" s="4"/>
      <c r="B86" s="5" t="s">
        <v>12</v>
      </c>
      <c r="C86" s="4"/>
      <c r="D86" s="5"/>
      <c r="E86" s="4"/>
      <c r="F86" s="5"/>
    </row>
    <row r="87" spans="1:6" x14ac:dyDescent="0.2">
      <c r="A87" s="4"/>
      <c r="B87" s="5" t="s">
        <v>12</v>
      </c>
      <c r="C87" s="4"/>
      <c r="D87" s="5"/>
      <c r="E87" s="4"/>
      <c r="F87" s="5"/>
    </row>
  </sheetData>
  <conditionalFormatting sqref="C2:C11 C51:C52 C55:C56 C58:C87 C13:C48">
    <cfRule type="expression" dxfId="58" priority="60">
      <formula>AND(OR(C2 &lt; D2, C2 &gt; E2, C2 = none), A2 &lt;&gt; none)</formula>
    </cfRule>
  </conditionalFormatting>
  <conditionalFormatting sqref="C8">
    <cfRule type="expression" dxfId="57" priority="59">
      <formula>AND(OR(C8 &lt; D8, C8 &gt; E8), A8 &lt;&gt; "")</formula>
    </cfRule>
  </conditionalFormatting>
  <conditionalFormatting sqref="D2:D11 D51:D52 D55:D56 D58:D87 D13:D48">
    <cfRule type="expression" dxfId="56" priority="57">
      <formula>AND(OR(D2 &gt; E2, D2=none), A2 &lt;&gt; none)</formula>
    </cfRule>
  </conditionalFormatting>
  <conditionalFormatting sqref="E51:E52 E55:E56 E58:E87 E2:E48">
    <cfRule type="expression" dxfId="55" priority="55">
      <formula>AND(OR(E2 &lt; D2, E2=none), A2 &lt;&gt; none)</formula>
    </cfRule>
  </conditionalFormatting>
  <conditionalFormatting sqref="B51:B52 B55:B56 B58:B87 B2:B48">
    <cfRule type="expression" dxfId="54" priority="54">
      <formula>AND(B2&lt;&gt;TRUE, B2&lt;&gt;FALSE, A2&lt;&gt;none)</formula>
    </cfRule>
  </conditionalFormatting>
  <conditionalFormatting sqref="C12">
    <cfRule type="expression" dxfId="53" priority="50">
      <formula>AND(OR(C12 &lt; D12, C12 &gt; E12, C12 = none), A12 &lt;&gt; none)</formula>
    </cfRule>
  </conditionalFormatting>
  <conditionalFormatting sqref="D12">
    <cfRule type="expression" dxfId="52" priority="49">
      <formula>AND(OR(D12 &gt; E12, D12=none), A12 &lt;&gt; none)</formula>
    </cfRule>
  </conditionalFormatting>
  <conditionalFormatting sqref="B48:B51">
    <cfRule type="expression" dxfId="51" priority="45">
      <formula>AND(B48&lt;&gt;TRUE, B48&lt;&gt;FALSE, A48&lt;&gt;none)</formula>
    </cfRule>
  </conditionalFormatting>
  <conditionalFormatting sqref="C48:C51">
    <cfRule type="expression" dxfId="50" priority="46">
      <formula>AND(OR(C48 &lt; D48, C48 &gt; E48, C48 = none), A47 &lt;&gt; none)</formula>
    </cfRule>
  </conditionalFormatting>
  <conditionalFormatting sqref="D48:D51">
    <cfRule type="expression" dxfId="49" priority="47">
      <formula>AND(OR(D48 &gt; E48, D48=none), A47 &lt;&gt; none)</formula>
    </cfRule>
  </conditionalFormatting>
  <conditionalFormatting sqref="E48:E51">
    <cfRule type="expression" dxfId="48" priority="48">
      <formula>AND(OR(E48 &lt; D48, E48=none), A47 &lt;&gt; none)</formula>
    </cfRule>
  </conditionalFormatting>
  <conditionalFormatting sqref="B53:B55">
    <cfRule type="expression" dxfId="47" priority="41">
      <formula>AND(B53&lt;&gt;TRUE, B53&lt;&gt;FALSE, A53&lt;&gt;none)</formula>
    </cfRule>
  </conditionalFormatting>
  <conditionalFormatting sqref="C53:C55">
    <cfRule type="expression" dxfId="46" priority="42">
      <formula>AND(OR(C53 &lt; D53, C53 &gt; E53, C53 = none), A52 &lt;&gt; none)</formula>
    </cfRule>
  </conditionalFormatting>
  <conditionalFormatting sqref="D53:D55">
    <cfRule type="expression" dxfId="45" priority="43">
      <formula>AND(OR(D53 &gt; E53, D53=none), A52 &lt;&gt; none)</formula>
    </cfRule>
  </conditionalFormatting>
  <conditionalFormatting sqref="E53:E55">
    <cfRule type="expression" dxfId="44" priority="44">
      <formula>AND(OR(E53 &lt; D53, E53=none), A52 &lt;&gt; none)</formula>
    </cfRule>
  </conditionalFormatting>
  <conditionalFormatting sqref="B57">
    <cfRule type="expression" dxfId="43" priority="37">
      <formula>AND(B57&lt;&gt;TRUE, B57&lt;&gt;FALSE, A57&lt;&gt;none)</formula>
    </cfRule>
  </conditionalFormatting>
  <conditionalFormatting sqref="C57">
    <cfRule type="expression" dxfId="42" priority="38">
      <formula>AND(OR(C57 &lt; D57, C57 &gt; E57, C57 = none), A56 &lt;&gt; none)</formula>
    </cfRule>
  </conditionalFormatting>
  <conditionalFormatting sqref="D57">
    <cfRule type="expression" dxfId="41" priority="39">
      <formula>AND(OR(D57 &gt; E57, D57=none), A56 &lt;&gt; none)</formula>
    </cfRule>
  </conditionalFormatting>
  <conditionalFormatting sqref="E57">
    <cfRule type="expression" dxfId="40" priority="40">
      <formula>AND(OR(E57 &lt; D57, E57=none), A56 &lt;&gt; none)</formula>
    </cfRule>
  </conditionalFormatting>
  <conditionalFormatting sqref="B44:B46">
    <cfRule type="expression" dxfId="39" priority="29">
      <formula>AND(B44&lt;&gt;TRUE, B44&lt;&gt;FALSE, A44&lt;&gt;none)</formula>
    </cfRule>
  </conditionalFormatting>
  <conditionalFormatting sqref="B47:B50">
    <cfRule type="expression" dxfId="38" priority="25">
      <formula>AND(B47&lt;&gt;TRUE, B47&lt;&gt;FALSE, A47&lt;&gt;none)</formula>
    </cfRule>
  </conditionalFormatting>
  <conditionalFormatting sqref="C47:C50">
    <cfRule type="expression" dxfId="37" priority="26">
      <formula>AND(OR(C47 &lt; D47, C47 &gt; E47, C47 = none), A46 &lt;&gt; none)</formula>
    </cfRule>
  </conditionalFormatting>
  <conditionalFormatting sqref="D47:D50">
    <cfRule type="expression" dxfId="36" priority="27">
      <formula>AND(OR(D47 &gt; E47, D47=none), A46 &lt;&gt; none)</formula>
    </cfRule>
  </conditionalFormatting>
  <conditionalFormatting sqref="E47:E50">
    <cfRule type="expression" dxfId="35" priority="28">
      <formula>AND(OR(E47 &lt; D47, E47=none), A46 &lt;&gt; none)</formula>
    </cfRule>
  </conditionalFormatting>
  <conditionalFormatting sqref="B50:B54">
    <cfRule type="expression" dxfId="34" priority="21">
      <formula>AND(B50&lt;&gt;TRUE, B50&lt;&gt;FALSE, A50&lt;&gt;none)</formula>
    </cfRule>
  </conditionalFormatting>
  <conditionalFormatting sqref="C50:C54">
    <cfRule type="expression" dxfId="33" priority="22">
      <formula>AND(OR(C50 &lt; D50, C50 &gt; E50, C50 = none), A49 &lt;&gt; none)</formula>
    </cfRule>
  </conditionalFormatting>
  <conditionalFormatting sqref="D50:D54">
    <cfRule type="expression" dxfId="32" priority="23">
      <formula>AND(OR(D50 &gt; E50, D50=none), A49 &lt;&gt; none)</formula>
    </cfRule>
  </conditionalFormatting>
  <conditionalFormatting sqref="E50:E54">
    <cfRule type="expression" dxfId="31" priority="24">
      <formula>AND(OR(E50 &lt; D50, E50=none), A49 &lt;&gt; none)</formula>
    </cfRule>
  </conditionalFormatting>
  <conditionalFormatting sqref="C53:C57">
    <cfRule type="expression" dxfId="30" priority="20">
      <formula>AND(OR(C53 &lt; D53, C53 &gt; E53, C53 = none), A53 &lt;&gt; none)</formula>
    </cfRule>
  </conditionalFormatting>
  <conditionalFormatting sqref="D53:D57">
    <cfRule type="expression" dxfId="29" priority="19">
      <formula>AND(OR(D53 &gt; E53, D53=none), A53 &lt;&gt; none)</formula>
    </cfRule>
  </conditionalFormatting>
  <conditionalFormatting sqref="E53:E57">
    <cfRule type="expression" dxfId="28" priority="18">
      <formula>AND(OR(E53 &lt; D53, E53=none), A53 &lt;&gt; none)</formula>
    </cfRule>
  </conditionalFormatting>
  <conditionalFormatting sqref="B53:B57">
    <cfRule type="expression" dxfId="27" priority="17">
      <formula>AND(B53&lt;&gt;TRUE, B53&lt;&gt;FALSE, A53&lt;&gt;none)</formula>
    </cfRule>
  </conditionalFormatting>
  <conditionalFormatting sqref="C50">
    <cfRule type="expression" dxfId="26" priority="16">
      <formula>AND(OR(C50 &lt; D50, C50 &gt; E50, C50 = none), A50 &lt;&gt; none)</formula>
    </cfRule>
  </conditionalFormatting>
  <conditionalFormatting sqref="D50">
    <cfRule type="expression" dxfId="25" priority="15">
      <formula>AND(OR(D50 &gt; E50, D50=none), A50 &lt;&gt; none)</formula>
    </cfRule>
  </conditionalFormatting>
  <conditionalFormatting sqref="E50">
    <cfRule type="expression" dxfId="24" priority="14">
      <formula>AND(OR(E50 &lt; D50, E50=none), A50 &lt;&gt; none)</formula>
    </cfRule>
  </conditionalFormatting>
  <conditionalFormatting sqref="B50">
    <cfRule type="expression" dxfId="23" priority="13">
      <formula>AND(B50&lt;&gt;TRUE, B50&lt;&gt;FALSE, A50&lt;&gt;none)</formula>
    </cfRule>
  </conditionalFormatting>
  <conditionalFormatting sqref="B51:B52">
    <cfRule type="expression" dxfId="22" priority="9">
      <formula>AND(B51&lt;&gt;TRUE, B51&lt;&gt;FALSE, A51&lt;&gt;none)</formula>
    </cfRule>
  </conditionalFormatting>
  <conditionalFormatting sqref="C51:C52">
    <cfRule type="expression" dxfId="21" priority="10">
      <formula>AND(OR(C51 &lt; D51, C51 &gt; E51, C51 = none), A50 &lt;&gt; none)</formula>
    </cfRule>
  </conditionalFormatting>
  <conditionalFormatting sqref="D51:D52">
    <cfRule type="expression" dxfId="20" priority="11">
      <formula>AND(OR(D51 &gt; E51, D51=none), A50 &lt;&gt; none)</formula>
    </cfRule>
  </conditionalFormatting>
  <conditionalFormatting sqref="E51:E52">
    <cfRule type="expression" dxfId="19" priority="12">
      <formula>AND(OR(E51 &lt; D51, E51=none), A50 &lt;&gt; none)</formula>
    </cfRule>
  </conditionalFormatting>
  <conditionalFormatting sqref="C57 C53">
    <cfRule type="expression" dxfId="18" priority="8">
      <formula>AND(OR(C53 &lt; D53, C53 &gt; E53, C53 = none), A53 &lt;&gt; none)</formula>
    </cfRule>
  </conditionalFormatting>
  <conditionalFormatting sqref="D57 D53">
    <cfRule type="expression" dxfId="17" priority="7">
      <formula>AND(OR(D53 &gt; E53, D53=none), A53 &lt;&gt; none)</formula>
    </cfRule>
  </conditionalFormatting>
  <conditionalFormatting sqref="E57 E53">
    <cfRule type="expression" dxfId="16" priority="6">
      <formula>AND(OR(E53 &lt; D53, E53=none), A53 &lt;&gt; none)</formula>
    </cfRule>
  </conditionalFormatting>
  <conditionalFormatting sqref="B57 B53">
    <cfRule type="expression" dxfId="15" priority="5">
      <formula>AND(B53&lt;&gt;TRUE, B53&lt;&gt;FALSE, A53&lt;&gt;none)</formula>
    </cfRule>
  </conditionalFormatting>
  <conditionalFormatting sqref="B54:B56">
    <cfRule type="expression" dxfId="14" priority="1">
      <formula>AND(B54&lt;&gt;TRUE, B54&lt;&gt;FALSE, A54&lt;&gt;none)</formula>
    </cfRule>
  </conditionalFormatting>
  <conditionalFormatting sqref="C54:C56">
    <cfRule type="expression" dxfId="13" priority="2">
      <formula>AND(OR(C54 &lt; D54, C54 &gt; E54, C54 = none), A53 &lt;&gt; none)</formula>
    </cfRule>
  </conditionalFormatting>
  <conditionalFormatting sqref="D54:D56">
    <cfRule type="expression" dxfId="12" priority="3">
      <formula>AND(OR(D54 &gt; E54, D54=none), A53 &lt;&gt; none)</formula>
    </cfRule>
  </conditionalFormatting>
  <conditionalFormatting sqref="E54:E56">
    <cfRule type="expression" dxfId="11" priority="4">
      <formula>AND(OR(E54 &lt; D54, E54=none), A53 &lt;&gt; none)</formula>
    </cfRule>
  </conditionalFormatting>
  <conditionalFormatting sqref="C44:C46">
    <cfRule type="expression" dxfId="10" priority="69">
      <formula>AND(OR(C44 &lt; D44, C44 &gt; E44, C44 = none), #REF! &lt;&gt; none)</formula>
    </cfRule>
  </conditionalFormatting>
  <conditionalFormatting sqref="D44:D46">
    <cfRule type="expression" dxfId="9" priority="70">
      <formula>AND(OR(D44 &gt; E44, D44=none), #REF! &lt;&gt; none)</formula>
    </cfRule>
  </conditionalFormatting>
  <conditionalFormatting sqref="E44:E46">
    <cfRule type="expression" dxfId="8" priority="71">
      <formula>AND(OR(E44 &lt; D44, E44=none), #REF! &lt;&gt; none)</formula>
    </cfRule>
  </conditionalFormatting>
  <dataValidations count="1">
    <dataValidation type="list" allowBlank="1" showInputMessage="1" showErrorMessage="1" sqref="B2:B87" xr:uid="{00000000-0002-0000-02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11"/>
  <sheetViews>
    <sheetView workbookViewId="0">
      <selection activeCell="A7" sqref="A7"/>
    </sheetView>
  </sheetViews>
  <sheetFormatPr baseColWidth="10" defaultColWidth="8.83203125" defaultRowHeight="15" x14ac:dyDescent="0.2"/>
  <cols>
    <col min="1" max="1" width="18.5" bestFit="1" customWidth="1"/>
    <col min="6" max="6" width="13.5" bestFit="1" customWidth="1"/>
    <col min="7" max="7" width="10.5" bestFit="1" customWidth="1"/>
  </cols>
  <sheetData>
    <row r="1" spans="1:13" x14ac:dyDescent="0.2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2">
      <c r="A2" s="25" t="s">
        <v>22</v>
      </c>
      <c r="B2" s="24"/>
      <c r="C2" t="s">
        <v>28</v>
      </c>
      <c r="F2" s="11" t="s">
        <v>31</v>
      </c>
    </row>
    <row r="3" spans="1:13" x14ac:dyDescent="0.2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2">
      <c r="A4" s="25" t="s">
        <v>24</v>
      </c>
      <c r="B4" s="24"/>
      <c r="C4" s="1" t="s">
        <v>27</v>
      </c>
      <c r="F4" s="11" t="s">
        <v>32</v>
      </c>
    </row>
    <row r="5" spans="1:13" x14ac:dyDescent="0.2">
      <c r="F5" s="11">
        <f>n_replicates*$F$3</f>
        <v>0</v>
      </c>
      <c r="G5" s="1" t="s">
        <v>34</v>
      </c>
      <c r="M5" s="14" t="s">
        <v>38</v>
      </c>
    </row>
    <row r="6" spans="1:13" x14ac:dyDescent="0.2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2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2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2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2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2">
      <c r="F11" s="8"/>
    </row>
  </sheetData>
  <dataValidations disablePrompts="1" count="1">
    <dataValidation type="whole" operator="greaterThanOrEqual" allowBlank="1" showInputMessage="1" showErrorMessage="1" sqref="B3" xr:uid="{00000000-0002-0000-03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Y34"/>
  <sheetViews>
    <sheetView workbookViewId="0">
      <selection activeCell="F8" sqref="F8"/>
    </sheetView>
  </sheetViews>
  <sheetFormatPr baseColWidth="10" defaultColWidth="8.83203125" defaultRowHeight="15" x14ac:dyDescent="0.2"/>
  <cols>
    <col min="1" max="1" width="18.5" customWidth="1"/>
    <col min="3" max="3" width="8.6640625" customWidth="1"/>
  </cols>
  <sheetData>
    <row r="1" spans="1:25" x14ac:dyDescent="0.2">
      <c r="A1" s="20" t="s">
        <v>52</v>
      </c>
    </row>
    <row r="2" spans="1:25" x14ac:dyDescent="0.2">
      <c r="A2" t="s">
        <v>59</v>
      </c>
      <c r="K2" s="16" t="s">
        <v>61</v>
      </c>
    </row>
    <row r="3" spans="1:25" x14ac:dyDescent="0.2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2">
      <c r="A4" t="s">
        <v>60</v>
      </c>
    </row>
    <row r="5" spans="1:25" x14ac:dyDescent="0.2">
      <c r="A5" t="s">
        <v>63</v>
      </c>
    </row>
    <row r="7" spans="1:25" x14ac:dyDescent="0.2">
      <c r="A7" s="13" t="s">
        <v>51</v>
      </c>
      <c r="C7" s="16"/>
    </row>
    <row r="8" spans="1:25" x14ac:dyDescent="0.2">
      <c r="A8" s="34" t="s">
        <v>104</v>
      </c>
      <c r="B8" s="35" t="s">
        <v>139</v>
      </c>
      <c r="C8" s="34" t="s">
        <v>85</v>
      </c>
      <c r="D8" s="35" t="s">
        <v>303</v>
      </c>
      <c r="E8" s="34" t="s">
        <v>304</v>
      </c>
      <c r="F8" s="35"/>
      <c r="G8" s="34"/>
      <c r="H8" s="35"/>
      <c r="I8" s="34"/>
      <c r="J8" s="35"/>
      <c r="K8" s="34"/>
      <c r="L8" s="35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2">
      <c r="A9" s="39" t="s">
        <v>98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2">
      <c r="A10" s="36" t="s">
        <v>96</v>
      </c>
      <c r="B10" s="37" t="s">
        <v>95</v>
      </c>
      <c r="C10" s="36" t="s">
        <v>95</v>
      </c>
      <c r="D10" s="37" t="s">
        <v>96</v>
      </c>
      <c r="E10" s="36" t="s">
        <v>96</v>
      </c>
      <c r="F10" s="37" t="s">
        <v>12</v>
      </c>
      <c r="G10" s="36" t="s">
        <v>12</v>
      </c>
      <c r="H10" s="37" t="s">
        <v>12</v>
      </c>
      <c r="I10" s="36" t="s">
        <v>12</v>
      </c>
      <c r="J10" s="37" t="s">
        <v>12</v>
      </c>
      <c r="K10" s="36" t="s">
        <v>12</v>
      </c>
      <c r="L10" s="37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2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2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2">
      <c r="A13" s="2"/>
    </row>
    <row r="14" spans="1:25" x14ac:dyDescent="0.2">
      <c r="A14" t="s">
        <v>48</v>
      </c>
      <c r="B14" t="s">
        <v>49</v>
      </c>
    </row>
    <row r="15" spans="1:25" x14ac:dyDescent="0.2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2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2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2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2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2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2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2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2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2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2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2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2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2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2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2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2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2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2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2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00000000-0002-0000-0400-00000000000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63500</xdr:colOff>
                    <xdr:row>0</xdr:row>
                    <xdr:rowOff>139700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K16"/>
  <sheetViews>
    <sheetView tabSelected="1" workbookViewId="0">
      <selection activeCell="G24" sqref="G24"/>
    </sheetView>
  </sheetViews>
  <sheetFormatPr baseColWidth="10" defaultColWidth="8.83203125" defaultRowHeight="15" x14ac:dyDescent="0.2"/>
  <cols>
    <col min="1" max="1" width="14.5" customWidth="1"/>
    <col min="2" max="2" width="10.6640625" customWidth="1"/>
    <col min="3" max="3" width="13.1640625" bestFit="1" customWidth="1"/>
    <col min="4" max="4" width="11.1640625" customWidth="1"/>
    <col min="5" max="5" width="22.5" customWidth="1"/>
    <col min="6" max="6" width="14.5" customWidth="1"/>
    <col min="7" max="7" width="10.5" customWidth="1"/>
    <col min="8" max="8" width="13.1640625" customWidth="1"/>
    <col min="10" max="10" width="7.6640625" customWidth="1"/>
    <col min="11" max="11" width="22.5" customWidth="1"/>
  </cols>
  <sheetData>
    <row r="1" spans="1:11" x14ac:dyDescent="0.2">
      <c r="A1" s="16" t="s">
        <v>52</v>
      </c>
    </row>
    <row r="2" spans="1:11" x14ac:dyDescent="0.2">
      <c r="A2" s="29" t="s">
        <v>83</v>
      </c>
    </row>
    <row r="3" spans="1:11" x14ac:dyDescent="0.2">
      <c r="A3" t="s">
        <v>75</v>
      </c>
      <c r="D3" s="16" t="s">
        <v>58</v>
      </c>
    </row>
    <row r="4" spans="1:11" x14ac:dyDescent="0.2">
      <c r="A4" t="s">
        <v>82</v>
      </c>
    </row>
    <row r="6" spans="1:11" x14ac:dyDescent="0.2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  <c r="K6" t="s">
        <v>366</v>
      </c>
    </row>
    <row r="7" spans="1:11" x14ac:dyDescent="0.2">
      <c r="A7" s="33" t="s">
        <v>104</v>
      </c>
      <c r="B7" s="6" t="s">
        <v>71</v>
      </c>
      <c r="C7" s="6" t="s">
        <v>69</v>
      </c>
      <c r="D7" s="6" t="s">
        <v>77</v>
      </c>
      <c r="E7" s="6">
        <v>0.8</v>
      </c>
      <c r="F7" s="6"/>
      <c r="H7" s="42"/>
      <c r="K7">
        <f>SUM(E7:E12)</f>
        <v>1</v>
      </c>
    </row>
    <row r="8" spans="1:11" x14ac:dyDescent="0.2">
      <c r="A8" s="7" t="s">
        <v>85</v>
      </c>
      <c r="B8" s="7" t="s">
        <v>70</v>
      </c>
      <c r="C8" s="7" t="s">
        <v>69</v>
      </c>
      <c r="D8" s="7" t="s">
        <v>77</v>
      </c>
      <c r="E8" s="7">
        <v>2.5000000000000001E-2</v>
      </c>
      <c r="F8" s="7"/>
    </row>
    <row r="9" spans="1:11" x14ac:dyDescent="0.2">
      <c r="A9" s="6" t="s">
        <v>139</v>
      </c>
      <c r="B9" s="6" t="s">
        <v>70</v>
      </c>
      <c r="C9" s="6" t="s">
        <v>69</v>
      </c>
      <c r="D9" s="6" t="s">
        <v>77</v>
      </c>
      <c r="E9" s="6">
        <v>2.5000000000000001E-2</v>
      </c>
      <c r="F9" s="6"/>
      <c r="I9" t="s">
        <v>286</v>
      </c>
    </row>
    <row r="10" spans="1:11" x14ac:dyDescent="0.2">
      <c r="A10" s="7" t="s">
        <v>304</v>
      </c>
      <c r="B10" s="7" t="s">
        <v>71</v>
      </c>
      <c r="C10" s="7" t="s">
        <v>69</v>
      </c>
      <c r="D10" s="7" t="s">
        <v>77</v>
      </c>
      <c r="E10" s="7">
        <v>0.15</v>
      </c>
      <c r="F10" s="7"/>
    </row>
    <row r="11" spans="1:11" x14ac:dyDescent="0.2">
      <c r="A11" s="6" t="s">
        <v>303</v>
      </c>
      <c r="B11" s="6" t="s">
        <v>71</v>
      </c>
      <c r="C11" s="6" t="s">
        <v>69</v>
      </c>
      <c r="D11" s="6" t="s">
        <v>77</v>
      </c>
      <c r="E11" s="6">
        <v>0</v>
      </c>
      <c r="F11" s="6"/>
    </row>
    <row r="12" spans="1:11" x14ac:dyDescent="0.2">
      <c r="A12" s="7" t="s">
        <v>104</v>
      </c>
      <c r="B12" s="7" t="s">
        <v>71</v>
      </c>
      <c r="C12" s="7" t="s">
        <v>68</v>
      </c>
      <c r="D12" s="7" t="s">
        <v>78</v>
      </c>
      <c r="E12" s="7">
        <v>0</v>
      </c>
      <c r="F12" s="7" t="s">
        <v>116</v>
      </c>
    </row>
    <row r="13" spans="1:11" x14ac:dyDescent="0.2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11" x14ac:dyDescent="0.2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11" x14ac:dyDescent="0.2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11" x14ac:dyDescent="0.2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500-000000000000}">
      <formula1>provinciality</formula1>
    </dataValidation>
    <dataValidation type="list" allowBlank="1" showInputMessage="1" showErrorMessage="1" sqref="A7:A16" xr:uid="{00000000-0002-0000-0500-000001000000}">
      <formula1>allowed_data_channels</formula1>
    </dataValidation>
    <dataValidation type="list" allowBlank="1" showInputMessage="1" showErrorMessage="1" sqref="D7:D16" xr:uid="{00000000-0002-0000-0500-000002000000}">
      <formula1>age_bin_selection</formula1>
    </dataValidation>
    <dataValidation type="list" allowBlank="1" showInputMessage="1" showErrorMessage="1" sqref="B7:B16" xr:uid="{00000000-0002-0000-05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K26"/>
  <sheetViews>
    <sheetView workbookViewId="0"/>
  </sheetViews>
  <sheetFormatPr baseColWidth="10" defaultColWidth="8.83203125" defaultRowHeight="15" x14ac:dyDescent="0.2"/>
  <cols>
    <col min="1" max="1" width="15.5" bestFit="1" customWidth="1"/>
    <col min="2" max="2" width="18.1640625" bestFit="1" customWidth="1"/>
    <col min="3" max="3" width="8.1640625" bestFit="1" customWidth="1"/>
    <col min="4" max="4" width="14.5" bestFit="1" customWidth="1"/>
    <col min="5" max="5" width="5.1640625" bestFit="1" customWidth="1"/>
    <col min="6" max="6" width="19" bestFit="1" customWidth="1"/>
    <col min="7" max="7" width="13.1640625" bestFit="1" customWidth="1"/>
    <col min="8" max="8" width="20.5" bestFit="1" customWidth="1"/>
    <col min="10" max="10" width="11.33203125" customWidth="1"/>
    <col min="11" max="11" width="18.1640625" bestFit="1" customWidth="1"/>
  </cols>
  <sheetData>
    <row r="1" spans="1:11" s="3" customFormat="1" x14ac:dyDescent="0.2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2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2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>Prevalence</v>
      </c>
      <c r="I3" s="32" t="s">
        <v>77</v>
      </c>
      <c r="K3" s="32" t="s">
        <v>95</v>
      </c>
    </row>
    <row r="4" spans="1:11" x14ac:dyDescent="0.2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>OnART</v>
      </c>
      <c r="I4" s="32" t="s">
        <v>78</v>
      </c>
      <c r="K4" s="32" t="s">
        <v>96</v>
      </c>
    </row>
    <row r="5" spans="1:11" x14ac:dyDescent="0.2">
      <c r="B5" s="32" t="s">
        <v>16</v>
      </c>
      <c r="C5" s="32" t="s">
        <v>20</v>
      </c>
      <c r="D5" s="32" t="s">
        <v>45</v>
      </c>
      <c r="H5" s="32" t="str">
        <v>Population</v>
      </c>
    </row>
    <row r="6" spans="1:11" x14ac:dyDescent="0.2">
      <c r="H6" s="32" t="str">
        <v>Incidence</v>
      </c>
    </row>
    <row r="7" spans="1:11" x14ac:dyDescent="0.2">
      <c r="H7" s="32" t="str">
        <v>ARTCoverage</v>
      </c>
    </row>
    <row r="8" spans="1:11" x14ac:dyDescent="0.2">
      <c r="H8" s="32" t="str">
        <v/>
      </c>
    </row>
    <row r="9" spans="1:11" x14ac:dyDescent="0.2">
      <c r="H9" s="32" t="str">
        <v/>
      </c>
    </row>
    <row r="10" spans="1:11" x14ac:dyDescent="0.2">
      <c r="H10" s="32" t="str">
        <v/>
      </c>
    </row>
    <row r="11" spans="1:11" x14ac:dyDescent="0.2">
      <c r="H11" s="32" t="str">
        <v/>
      </c>
    </row>
    <row r="12" spans="1:11" x14ac:dyDescent="0.2">
      <c r="H12" s="32" t="str">
        <v/>
      </c>
    </row>
    <row r="13" spans="1:11" x14ac:dyDescent="0.2">
      <c r="H13" s="32" t="str">
        <v/>
      </c>
    </row>
    <row r="14" spans="1:11" x14ac:dyDescent="0.2">
      <c r="H14" s="32" t="str">
        <v/>
      </c>
    </row>
    <row r="26" spans="2:2" x14ac:dyDescent="0.2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Z999"/>
  <sheetViews>
    <sheetView topLeftCell="A50" zoomScaleNormal="100" workbookViewId="0">
      <selection activeCell="D85" sqref="D85"/>
    </sheetView>
  </sheetViews>
  <sheetFormatPr baseColWidth="10" defaultColWidth="8.6640625" defaultRowHeight="15" x14ac:dyDescent="0.2"/>
  <cols>
    <col min="1" max="1" width="12.83203125" style="41" bestFit="1" customWidth="1"/>
    <col min="2" max="16384" width="8.6640625" style="41"/>
  </cols>
  <sheetData>
    <row r="1" spans="1:98" x14ac:dyDescent="0.2">
      <c r="A1" s="40" t="s">
        <v>105</v>
      </c>
      <c r="B1" s="40" t="s">
        <v>104</v>
      </c>
      <c r="G1" s="42" t="s">
        <v>111</v>
      </c>
    </row>
    <row r="3" spans="1:98" x14ac:dyDescent="0.2">
      <c r="A3" s="42" t="s">
        <v>106</v>
      </c>
    </row>
    <row r="4" spans="1:98" x14ac:dyDescent="0.2">
      <c r="A4" s="43" t="s">
        <v>86</v>
      </c>
      <c r="B4" s="43" t="s">
        <v>112</v>
      </c>
      <c r="C4" s="43" t="s">
        <v>113</v>
      </c>
      <c r="D4" s="43" t="s">
        <v>114</v>
      </c>
      <c r="E4" s="43"/>
      <c r="F4" s="43"/>
      <c r="G4" s="43"/>
      <c r="H4" s="43"/>
      <c r="I4" s="43"/>
      <c r="J4" s="43"/>
      <c r="K4" s="43"/>
      <c r="L4" s="43"/>
    </row>
    <row r="5" spans="1:98" x14ac:dyDescent="0.2">
      <c r="A5" s="42" t="s">
        <v>107</v>
      </c>
    </row>
    <row r="6" spans="1:98" x14ac:dyDescent="0.2">
      <c r="A6" s="45" t="s">
        <v>108</v>
      </c>
      <c r="B6" s="44" t="s">
        <v>109</v>
      </c>
      <c r="C6" s="44"/>
      <c r="D6" s="44"/>
      <c r="E6" s="44"/>
      <c r="F6" s="44"/>
      <c r="G6" s="44"/>
      <c r="H6" s="44"/>
      <c r="I6" s="44"/>
      <c r="J6" s="44"/>
      <c r="K6" s="44"/>
      <c r="L6" s="44"/>
    </row>
    <row r="7" spans="1:98" x14ac:dyDescent="0.2">
      <c r="R7" s="41" t="s">
        <v>365</v>
      </c>
      <c r="U7" s="41" t="s">
        <v>360</v>
      </c>
      <c r="X7" s="41" t="s">
        <v>361</v>
      </c>
      <c r="AE7" s="41" t="s">
        <v>364</v>
      </c>
    </row>
    <row r="8" spans="1:98" x14ac:dyDescent="0.2">
      <c r="A8" s="40" t="s">
        <v>86</v>
      </c>
      <c r="B8" s="40" t="s">
        <v>112</v>
      </c>
      <c r="C8" s="40" t="s">
        <v>113</v>
      </c>
      <c r="D8" s="40" t="s">
        <v>114</v>
      </c>
      <c r="E8" s="40" t="s">
        <v>104</v>
      </c>
      <c r="F8" s="40" t="s">
        <v>108</v>
      </c>
      <c r="G8" s="40" t="s">
        <v>109</v>
      </c>
      <c r="J8" s="42" t="s">
        <v>115</v>
      </c>
      <c r="N8" s="41" t="s">
        <v>211</v>
      </c>
      <c r="R8" s="41" t="s">
        <v>359</v>
      </c>
      <c r="S8" s="41" t="s">
        <v>314</v>
      </c>
      <c r="T8" s="41" t="s">
        <v>315</v>
      </c>
      <c r="U8" s="41" t="s">
        <v>359</v>
      </c>
      <c r="V8" s="41" t="s">
        <v>314</v>
      </c>
      <c r="W8" s="41" t="s">
        <v>315</v>
      </c>
      <c r="X8" s="41" t="s">
        <v>109</v>
      </c>
      <c r="Y8" s="41" t="s">
        <v>353</v>
      </c>
      <c r="Z8" s="41" t="s">
        <v>71</v>
      </c>
      <c r="AA8" s="41" t="s">
        <v>354</v>
      </c>
      <c r="AB8" s="41" t="s">
        <v>355</v>
      </c>
      <c r="AC8" s="41" t="s">
        <v>356</v>
      </c>
      <c r="AD8" s="41" t="s">
        <v>357</v>
      </c>
      <c r="AE8" s="41" t="s">
        <v>354</v>
      </c>
      <c r="AF8" s="41" t="s">
        <v>356</v>
      </c>
      <c r="AG8" s="41" t="s">
        <v>357</v>
      </c>
    </row>
    <row r="9" spans="1:98" x14ac:dyDescent="0.2">
      <c r="A9" s="44">
        <v>2015.5</v>
      </c>
      <c r="B9" s="44" t="s">
        <v>351</v>
      </c>
      <c r="C9" s="44" t="s">
        <v>44</v>
      </c>
      <c r="D9" s="44" t="s">
        <v>117</v>
      </c>
      <c r="E9" s="44">
        <v>0.01</v>
      </c>
      <c r="F9" s="44"/>
      <c r="G9" s="44">
        <v>1575.87890625</v>
      </c>
      <c r="I9" s="41" t="s">
        <v>285</v>
      </c>
      <c r="J9" s="42" t="s">
        <v>287</v>
      </c>
      <c r="M9" s="41">
        <f>A9</f>
        <v>2015.5</v>
      </c>
      <c r="N9" s="41" t="str">
        <f t="shared" ref="N9" si="0">B9</f>
        <v>All</v>
      </c>
      <c r="O9" s="41">
        <f>100*E9-R9</f>
        <v>0</v>
      </c>
      <c r="P9" s="41" t="str">
        <f>C9</f>
        <v>Male</v>
      </c>
      <c r="Q9" s="41" t="s">
        <v>116</v>
      </c>
      <c r="R9" s="48">
        <v>1</v>
      </c>
      <c r="S9" s="48">
        <v>0.5</v>
      </c>
      <c r="T9" s="48">
        <v>1.5</v>
      </c>
      <c r="U9" s="41">
        <f t="shared" ref="U9:W9" si="1">R9/100</f>
        <v>0.01</v>
      </c>
      <c r="V9" s="41">
        <f t="shared" si="1"/>
        <v>5.0000000000000001E-3</v>
      </c>
      <c r="W9" s="41">
        <f t="shared" si="1"/>
        <v>1.4999999999999999E-2</v>
      </c>
      <c r="X9" s="41">
        <v>377.71012911642998</v>
      </c>
      <c r="Y9" s="41">
        <f>U9*X9</f>
        <v>3.7771012911642998</v>
      </c>
      <c r="Z9" s="41">
        <f>(1-U9)*X9</f>
        <v>373.9330278252657</v>
      </c>
      <c r="AA9" s="41">
        <f t="shared" ref="AA9" si="2">Y9/(Y9+Z9)</f>
        <v>0.01</v>
      </c>
      <c r="AB9" s="41">
        <f>BETAINV(0.5,Y9,Z9)</f>
        <v>9.1487638368639192E-3</v>
      </c>
      <c r="AC9" s="41">
        <f>BETAINV(0.025,Y9,Z9)</f>
        <v>2.6039857335065485E-3</v>
      </c>
      <c r="AD9" s="41">
        <f>BETAINV(0.975,Y9,Z9)</f>
        <v>2.2211522903434311E-2</v>
      </c>
      <c r="AE9" s="41">
        <f>(U9-AA9)*100</f>
        <v>0</v>
      </c>
      <c r="AF9" s="41">
        <f>(V9-AC9)*100</f>
        <v>0.23960142664934517</v>
      </c>
      <c r="AG9" s="41">
        <f>(W9-AD9)*100</f>
        <v>-0.72115229034343109</v>
      </c>
    </row>
    <row r="10" spans="1:98" x14ac:dyDescent="0.2">
      <c r="A10" s="43">
        <v>2015.5</v>
      </c>
      <c r="B10" s="44" t="s">
        <v>351</v>
      </c>
      <c r="C10" s="43" t="s">
        <v>44</v>
      </c>
      <c r="D10" s="43" t="s">
        <v>118</v>
      </c>
      <c r="E10" s="43">
        <v>1.1000000000000001E-2</v>
      </c>
      <c r="F10" s="43"/>
      <c r="G10" s="43">
        <v>707.07924582741498</v>
      </c>
      <c r="O10" s="41">
        <f t="shared" ref="O10:O56" si="3">100*E10-R10</f>
        <v>0</v>
      </c>
      <c r="P10" s="41" t="str">
        <f t="shared" ref="P10:P56" si="4">C10</f>
        <v>Male</v>
      </c>
      <c r="Q10" s="41" t="s">
        <v>116</v>
      </c>
      <c r="R10" s="48">
        <v>1.1000000000000001</v>
      </c>
      <c r="S10" s="48">
        <v>0.3</v>
      </c>
      <c r="T10" s="48">
        <v>1.9</v>
      </c>
      <c r="U10" s="41">
        <f t="shared" ref="U10:U73" si="5">R10/100</f>
        <v>1.1000000000000001E-2</v>
      </c>
      <c r="V10" s="41">
        <f t="shared" ref="V10:V73" si="6">S10/100</f>
        <v>3.0000000000000001E-3</v>
      </c>
      <c r="W10" s="41">
        <f t="shared" ref="W10:W73" si="7">T10/100</f>
        <v>1.9E-2</v>
      </c>
      <c r="X10" s="41">
        <v>377.71012911642998</v>
      </c>
      <c r="Y10" s="41">
        <f t="shared" ref="Y10:Y73" si="8">U10*X10</f>
        <v>4.1548114202807298</v>
      </c>
      <c r="Z10" s="41">
        <f t="shared" ref="Z10:Z73" si="9">(1-U10)*X10</f>
        <v>373.55531769614925</v>
      </c>
      <c r="AA10" s="41">
        <f t="shared" ref="AA10:AA73" si="10">Y10/(Y10+Z10)</f>
        <v>1.0999999999999999E-2</v>
      </c>
      <c r="AB10" s="41">
        <f t="shared" ref="AB10:AB73" si="11">BETAINV(0.5,Y10,Z10)</f>
        <v>1.014903549821959E-2</v>
      </c>
      <c r="AC10" s="41">
        <f t="shared" ref="AC10:AC73" si="12">BETAINV(0.025,Y10,Z10)</f>
        <v>3.1112674060858525E-3</v>
      </c>
      <c r="AD10" s="41">
        <f t="shared" ref="AD10:AD73" si="13">BETAINV(0.975,Y10,Z10)</f>
        <v>2.3704509431568765E-2</v>
      </c>
      <c r="AE10" s="41">
        <f t="shared" ref="AE10:AE73" si="14">(U10-AA10)*100</f>
        <v>1.7347234759768071E-16</v>
      </c>
      <c r="AF10" s="41">
        <f t="shared" ref="AF10:AF73" si="15">(V10-AC10)*100</f>
        <v>-1.1126740608585241E-2</v>
      </c>
      <c r="AG10" s="41">
        <f t="shared" ref="AG10:AG73" si="16">(W10-AD10)*100</f>
        <v>-0.47045094315687658</v>
      </c>
    </row>
    <row r="11" spans="1:98" x14ac:dyDescent="0.2">
      <c r="A11" s="44">
        <v>2015.5</v>
      </c>
      <c r="B11" s="44" t="s">
        <v>351</v>
      </c>
      <c r="C11" s="44" t="s">
        <v>44</v>
      </c>
      <c r="D11" s="44" t="s">
        <v>119</v>
      </c>
      <c r="E11" s="44">
        <v>6.4000000000000001E-2</v>
      </c>
      <c r="F11" s="44"/>
      <c r="G11" s="44">
        <v>470.33157348632801</v>
      </c>
      <c r="O11" s="41">
        <f t="shared" si="3"/>
        <v>0</v>
      </c>
      <c r="P11" s="41" t="str">
        <f t="shared" si="4"/>
        <v>Male</v>
      </c>
      <c r="Q11" s="41" t="s">
        <v>116</v>
      </c>
      <c r="R11" s="48">
        <v>6.4</v>
      </c>
      <c r="S11" s="48">
        <v>4.3</v>
      </c>
      <c r="T11" s="48">
        <v>8.6</v>
      </c>
      <c r="U11" s="41">
        <f t="shared" si="5"/>
        <v>6.4000000000000001E-2</v>
      </c>
      <c r="V11" s="41">
        <f t="shared" si="6"/>
        <v>4.2999999999999997E-2</v>
      </c>
      <c r="W11" s="41">
        <f t="shared" si="7"/>
        <v>8.5999999999999993E-2</v>
      </c>
      <c r="X11" s="41">
        <v>377.71012911642998</v>
      </c>
      <c r="Y11" s="41">
        <f t="shared" si="8"/>
        <v>24.173448263451519</v>
      </c>
      <c r="Z11" s="41">
        <f t="shared" si="9"/>
        <v>353.53668085297846</v>
      </c>
      <c r="AA11" s="41">
        <f t="shared" si="10"/>
        <v>6.4000000000000001E-2</v>
      </c>
      <c r="AB11" s="41">
        <f t="shared" si="11"/>
        <v>6.3231202098263134E-2</v>
      </c>
      <c r="AC11" s="41">
        <f t="shared" si="12"/>
        <v>4.1616872990962527E-2</v>
      </c>
      <c r="AD11" s="41">
        <f t="shared" si="13"/>
        <v>9.0746275632990869E-2</v>
      </c>
      <c r="AE11" s="41">
        <f t="shared" si="14"/>
        <v>0</v>
      </c>
      <c r="AF11" s="41">
        <f t="shared" si="15"/>
        <v>0.138312700903747</v>
      </c>
      <c r="AG11" s="41">
        <f t="shared" si="16"/>
        <v>-0.47462756329908762</v>
      </c>
    </row>
    <row r="12" spans="1:98" x14ac:dyDescent="0.2">
      <c r="A12" s="43">
        <v>2015.5</v>
      </c>
      <c r="B12" s="44" t="s">
        <v>351</v>
      </c>
      <c r="C12" s="43" t="s">
        <v>44</v>
      </c>
      <c r="D12" s="43" t="s">
        <v>120</v>
      </c>
      <c r="E12" s="43">
        <v>9.1999999999999998E-2</v>
      </c>
      <c r="F12" s="43"/>
      <c r="G12" s="43">
        <v>454.443359375</v>
      </c>
      <c r="O12" s="41">
        <f t="shared" si="3"/>
        <v>0</v>
      </c>
      <c r="P12" s="41" t="str">
        <f t="shared" si="4"/>
        <v>Male</v>
      </c>
      <c r="Q12" s="41" t="s">
        <v>116</v>
      </c>
      <c r="R12" s="48">
        <v>9.1999999999999993</v>
      </c>
      <c r="S12" s="48">
        <v>6.6</v>
      </c>
      <c r="T12" s="48">
        <v>11.7</v>
      </c>
      <c r="U12" s="41">
        <f t="shared" si="5"/>
        <v>9.1999999999999998E-2</v>
      </c>
      <c r="V12" s="41">
        <f t="shared" si="6"/>
        <v>6.6000000000000003E-2</v>
      </c>
      <c r="W12" s="41">
        <f t="shared" si="7"/>
        <v>0.11699999999999999</v>
      </c>
      <c r="X12" s="41">
        <v>377.71012911642998</v>
      </c>
      <c r="Y12" s="41">
        <f t="shared" si="8"/>
        <v>34.749331878711558</v>
      </c>
      <c r="Z12" s="41">
        <f t="shared" si="9"/>
        <v>342.96079723771845</v>
      </c>
      <c r="AA12" s="41">
        <f t="shared" si="10"/>
        <v>9.1999999999999985E-2</v>
      </c>
      <c r="AB12" s="41">
        <f t="shared" si="11"/>
        <v>9.1280025086110467E-2</v>
      </c>
      <c r="AC12" s="41">
        <f t="shared" si="12"/>
        <v>6.5003783064775764E-2</v>
      </c>
      <c r="AD12" s="41">
        <f t="shared" si="13"/>
        <v>0.12308294879336679</v>
      </c>
      <c r="AE12" s="41">
        <f t="shared" si="14"/>
        <v>1.3877787807814457E-15</v>
      </c>
      <c r="AF12" s="41">
        <f t="shared" si="15"/>
        <v>9.9621693522423949E-2</v>
      </c>
      <c r="AG12" s="41">
        <f t="shared" si="16"/>
        <v>-0.60829487933667936</v>
      </c>
    </row>
    <row r="13" spans="1:98" x14ac:dyDescent="0.2">
      <c r="A13" s="44">
        <v>2015.5</v>
      </c>
      <c r="B13" s="44" t="s">
        <v>351</v>
      </c>
      <c r="C13" s="44" t="s">
        <v>44</v>
      </c>
      <c r="D13" s="44" t="s">
        <v>121</v>
      </c>
      <c r="E13" s="44">
        <v>0.11800000000000001</v>
      </c>
      <c r="F13" s="44"/>
      <c r="G13" s="44">
        <v>380.29826536016998</v>
      </c>
      <c r="K13" s="41" t="s">
        <v>211</v>
      </c>
      <c r="O13" s="41">
        <f t="shared" si="3"/>
        <v>0</v>
      </c>
      <c r="P13" s="41" t="str">
        <f t="shared" si="4"/>
        <v>Male</v>
      </c>
      <c r="Q13" s="41" t="s">
        <v>116</v>
      </c>
      <c r="R13" s="48">
        <v>11.8</v>
      </c>
      <c r="S13" s="48">
        <v>8.8000000000000007</v>
      </c>
      <c r="T13" s="48">
        <v>14.9</v>
      </c>
      <c r="U13" s="41">
        <f t="shared" si="5"/>
        <v>0.11800000000000001</v>
      </c>
      <c r="V13" s="41">
        <f t="shared" si="6"/>
        <v>8.8000000000000009E-2</v>
      </c>
      <c r="W13" s="41">
        <f t="shared" si="7"/>
        <v>0.14899999999999999</v>
      </c>
      <c r="X13" s="41">
        <v>377.71012911642998</v>
      </c>
      <c r="Y13" s="41">
        <f t="shared" si="8"/>
        <v>44.569795235738738</v>
      </c>
      <c r="Z13" s="41">
        <f t="shared" si="9"/>
        <v>333.14033388069123</v>
      </c>
      <c r="AA13" s="41">
        <f t="shared" si="10"/>
        <v>0.11799999999999999</v>
      </c>
      <c r="AB13" s="41">
        <f t="shared" si="11"/>
        <v>0.11732565025613127</v>
      </c>
      <c r="AC13" s="41">
        <f t="shared" si="12"/>
        <v>8.7482707706932061E-2</v>
      </c>
      <c r="AD13" s="41">
        <f t="shared" si="13"/>
        <v>0.15234535648385583</v>
      </c>
      <c r="AE13" s="41">
        <f t="shared" si="14"/>
        <v>1.3877787807814457E-15</v>
      </c>
      <c r="AF13" s="41">
        <f t="shared" si="15"/>
        <v>5.1729229306794744E-2</v>
      </c>
      <c r="AG13" s="41">
        <f t="shared" si="16"/>
        <v>-0.33453564838558381</v>
      </c>
      <c r="CQ13" s="41" t="s">
        <v>282</v>
      </c>
    </row>
    <row r="14" spans="1:98" x14ac:dyDescent="0.2">
      <c r="A14" s="43">
        <v>2015.5</v>
      </c>
      <c r="B14" s="44" t="s">
        <v>351</v>
      </c>
      <c r="C14" s="43" t="s">
        <v>44</v>
      </c>
      <c r="D14" s="43" t="s">
        <v>122</v>
      </c>
      <c r="E14" s="43">
        <v>0.14000000000000001</v>
      </c>
      <c r="F14" s="43"/>
      <c r="G14" s="43">
        <v>285.32191685267901</v>
      </c>
      <c r="O14" s="41">
        <f t="shared" si="3"/>
        <v>0</v>
      </c>
      <c r="P14" s="41" t="str">
        <f t="shared" si="4"/>
        <v>Male</v>
      </c>
      <c r="Q14" s="41" t="s">
        <v>116</v>
      </c>
      <c r="R14" s="48">
        <v>14</v>
      </c>
      <c r="S14" s="48">
        <v>10.199999999999999</v>
      </c>
      <c r="T14" s="48">
        <v>17.7</v>
      </c>
      <c r="U14" s="41">
        <f t="shared" si="5"/>
        <v>0.14000000000000001</v>
      </c>
      <c r="V14" s="41">
        <f t="shared" si="6"/>
        <v>0.10199999999999999</v>
      </c>
      <c r="W14" s="41">
        <f t="shared" si="7"/>
        <v>0.17699999999999999</v>
      </c>
      <c r="X14" s="41">
        <v>377.71012911642998</v>
      </c>
      <c r="Y14" s="41">
        <f t="shared" si="8"/>
        <v>52.879418076300205</v>
      </c>
      <c r="Z14" s="41">
        <f t="shared" si="9"/>
        <v>324.83071104012976</v>
      </c>
      <c r="AA14" s="41">
        <f t="shared" si="10"/>
        <v>0.14000000000000001</v>
      </c>
      <c r="AB14" s="41">
        <f t="shared" si="11"/>
        <v>0.13936435480142417</v>
      </c>
      <c r="AC14" s="41">
        <f t="shared" si="12"/>
        <v>0.10691169127965577</v>
      </c>
      <c r="AD14" s="41">
        <f t="shared" si="13"/>
        <v>0.17669682060812941</v>
      </c>
      <c r="AE14" s="41">
        <f t="shared" si="14"/>
        <v>0</v>
      </c>
      <c r="AF14" s="41">
        <f t="shared" si="15"/>
        <v>-0.49116912796557805</v>
      </c>
      <c r="AG14" s="41">
        <f t="shared" si="16"/>
        <v>3.031793918705783E-2</v>
      </c>
      <c r="CQ14" s="41" t="s">
        <v>268</v>
      </c>
    </row>
    <row r="15" spans="1:98" x14ac:dyDescent="0.2">
      <c r="A15" s="44">
        <v>2015.5</v>
      </c>
      <c r="B15" s="44" t="s">
        <v>351</v>
      </c>
      <c r="C15" s="44" t="s">
        <v>44</v>
      </c>
      <c r="D15" s="44" t="s">
        <v>123</v>
      </c>
      <c r="E15" s="44">
        <v>0.192</v>
      </c>
      <c r="F15" s="44"/>
      <c r="G15" s="44">
        <v>204.6630859375</v>
      </c>
      <c r="O15" s="41">
        <f t="shared" si="3"/>
        <v>0</v>
      </c>
      <c r="P15" s="41" t="str">
        <f t="shared" si="4"/>
        <v>Male</v>
      </c>
      <c r="Q15" s="41" t="s">
        <v>116</v>
      </c>
      <c r="R15" s="48">
        <v>19.2</v>
      </c>
      <c r="S15" s="48">
        <v>14.4</v>
      </c>
      <c r="T15" s="48">
        <v>24.1</v>
      </c>
      <c r="U15" s="41">
        <f t="shared" si="5"/>
        <v>0.192</v>
      </c>
      <c r="V15" s="41">
        <f t="shared" si="6"/>
        <v>0.14400000000000002</v>
      </c>
      <c r="W15" s="41">
        <f t="shared" si="7"/>
        <v>0.24100000000000002</v>
      </c>
      <c r="X15" s="41">
        <v>377.71012911642998</v>
      </c>
      <c r="Y15" s="41">
        <f t="shared" si="8"/>
        <v>72.520344790354557</v>
      </c>
      <c r="Z15" s="41">
        <f t="shared" si="9"/>
        <v>305.18978432607543</v>
      </c>
      <c r="AA15" s="41">
        <f t="shared" si="10"/>
        <v>0.192</v>
      </c>
      <c r="AB15" s="41">
        <f t="shared" si="11"/>
        <v>0.19145600906074453</v>
      </c>
      <c r="AC15" s="41">
        <f t="shared" si="12"/>
        <v>0.15391984640532494</v>
      </c>
      <c r="AD15" s="41">
        <f t="shared" si="13"/>
        <v>0.23316854670024056</v>
      </c>
      <c r="AE15" s="41">
        <f t="shared" si="14"/>
        <v>0</v>
      </c>
      <c r="AF15" s="41">
        <f t="shared" si="15"/>
        <v>-0.99198464053249225</v>
      </c>
      <c r="AG15" s="41">
        <f t="shared" si="16"/>
        <v>0.78314532997594555</v>
      </c>
    </row>
    <row r="16" spans="1:98" x14ac:dyDescent="0.2">
      <c r="A16" s="43">
        <v>2015.5</v>
      </c>
      <c r="B16" s="44" t="s">
        <v>351</v>
      </c>
      <c r="C16" s="43" t="s">
        <v>44</v>
      </c>
      <c r="D16" s="43" t="s">
        <v>116</v>
      </c>
      <c r="E16" s="43">
        <v>6.4000000000000001E-2</v>
      </c>
      <c r="F16" s="43"/>
      <c r="G16" s="43">
        <v>2967.8466796875</v>
      </c>
      <c r="O16" s="41">
        <f t="shared" si="3"/>
        <v>0</v>
      </c>
      <c r="P16" s="41" t="str">
        <f t="shared" si="4"/>
        <v>Male</v>
      </c>
      <c r="Q16" s="41" t="s">
        <v>116</v>
      </c>
      <c r="R16" s="48">
        <v>6.4</v>
      </c>
      <c r="S16" s="48">
        <v>5.6</v>
      </c>
      <c r="T16" s="48">
        <v>7.3</v>
      </c>
      <c r="U16" s="41">
        <f t="shared" si="5"/>
        <v>6.4000000000000001E-2</v>
      </c>
      <c r="V16" s="41">
        <f t="shared" si="6"/>
        <v>5.5999999999999994E-2</v>
      </c>
      <c r="W16" s="41">
        <f t="shared" si="7"/>
        <v>7.2999999999999995E-2</v>
      </c>
      <c r="X16" s="41">
        <v>377.71012911642998</v>
      </c>
      <c r="Y16" s="41">
        <f t="shared" si="8"/>
        <v>24.173448263451519</v>
      </c>
      <c r="Z16" s="41">
        <f t="shared" si="9"/>
        <v>353.53668085297846</v>
      </c>
      <c r="AA16" s="41">
        <f t="shared" si="10"/>
        <v>6.4000000000000001E-2</v>
      </c>
      <c r="AB16" s="41">
        <f t="shared" si="11"/>
        <v>6.3231202098263134E-2</v>
      </c>
      <c r="AC16" s="41">
        <f t="shared" si="12"/>
        <v>4.1616872990962527E-2</v>
      </c>
      <c r="AD16" s="41">
        <f t="shared" si="13"/>
        <v>9.0746275632990869E-2</v>
      </c>
      <c r="AE16" s="41">
        <f t="shared" si="14"/>
        <v>0</v>
      </c>
      <c r="AF16" s="41">
        <f t="shared" si="15"/>
        <v>1.4383127009037469</v>
      </c>
      <c r="AG16" s="41">
        <f t="shared" si="16"/>
        <v>-1.7746275632990873</v>
      </c>
      <c r="CM16" s="41" t="s">
        <v>269</v>
      </c>
      <c r="CP16" s="41" t="s">
        <v>211</v>
      </c>
      <c r="CT16" s="41" t="s">
        <v>270</v>
      </c>
    </row>
    <row r="17" spans="1:102" x14ac:dyDescent="0.2">
      <c r="A17" s="43">
        <v>2010</v>
      </c>
      <c r="B17" s="43" t="s">
        <v>351</v>
      </c>
      <c r="C17" s="43" t="s">
        <v>44</v>
      </c>
      <c r="D17" s="43" t="s">
        <v>117</v>
      </c>
      <c r="E17" s="43">
        <v>1.3000000000000001E-2</v>
      </c>
      <c r="F17" s="43"/>
      <c r="G17" s="43">
        <v>652.00054462139406</v>
      </c>
      <c r="O17" s="41">
        <f t="shared" si="3"/>
        <v>0</v>
      </c>
      <c r="P17" s="41" t="str">
        <f t="shared" si="4"/>
        <v>Male</v>
      </c>
      <c r="Q17" s="41" t="s">
        <v>116</v>
      </c>
      <c r="R17" s="48">
        <v>1.3</v>
      </c>
      <c r="S17" s="48">
        <v>0.4</v>
      </c>
      <c r="T17" s="48">
        <v>2.2000000000000002</v>
      </c>
      <c r="U17" s="41">
        <f t="shared" si="5"/>
        <v>1.3000000000000001E-2</v>
      </c>
      <c r="V17" s="41">
        <f t="shared" si="6"/>
        <v>4.0000000000000001E-3</v>
      </c>
      <c r="W17" s="41">
        <f t="shared" si="7"/>
        <v>2.2000000000000002E-2</v>
      </c>
      <c r="X17" s="41">
        <v>377.71012911642998</v>
      </c>
      <c r="Y17" s="41">
        <f t="shared" si="8"/>
        <v>4.9102316785135898</v>
      </c>
      <c r="Z17" s="41">
        <f t="shared" si="9"/>
        <v>372.7998974379164</v>
      </c>
      <c r="AA17" s="41">
        <f t="shared" si="10"/>
        <v>1.2999999999999999E-2</v>
      </c>
      <c r="AB17" s="41">
        <f t="shared" si="11"/>
        <v>1.2150312785457546E-2</v>
      </c>
      <c r="AC17" s="41">
        <f t="shared" si="12"/>
        <v>4.1901239275362896E-3</v>
      </c>
      <c r="AD17" s="41">
        <f t="shared" si="13"/>
        <v>2.6621132379145429E-2</v>
      </c>
      <c r="AE17" s="41">
        <f t="shared" si="14"/>
        <v>1.7347234759768071E-16</v>
      </c>
      <c r="AF17" s="41">
        <f t="shared" si="15"/>
        <v>-1.9012392753628947E-2</v>
      </c>
      <c r="AG17" s="41">
        <f t="shared" si="16"/>
        <v>-0.46211323791454267</v>
      </c>
      <c r="CQ17" s="41" t="s">
        <v>350</v>
      </c>
      <c r="CR17" s="41" t="s">
        <v>314</v>
      </c>
      <c r="CS17" s="41" t="s">
        <v>315</v>
      </c>
      <c r="CT17" s="41" t="s">
        <v>350</v>
      </c>
      <c r="CU17" s="41" t="s">
        <v>314</v>
      </c>
      <c r="CV17" s="41" t="s">
        <v>315</v>
      </c>
    </row>
    <row r="18" spans="1:102" x14ac:dyDescent="0.2">
      <c r="A18" s="44">
        <v>2010</v>
      </c>
      <c r="B18" s="43" t="s">
        <v>351</v>
      </c>
      <c r="C18" s="44" t="s">
        <v>44</v>
      </c>
      <c r="D18" s="44" t="s">
        <v>118</v>
      </c>
      <c r="E18" s="44">
        <v>2.7999999999999997E-2</v>
      </c>
      <c r="F18" s="44"/>
      <c r="G18" s="44">
        <v>540.71568080357099</v>
      </c>
      <c r="I18" s="41" t="s">
        <v>285</v>
      </c>
      <c r="O18" s="41">
        <f t="shared" si="3"/>
        <v>0</v>
      </c>
      <c r="P18" s="41" t="str">
        <f t="shared" si="4"/>
        <v>Male</v>
      </c>
      <c r="Q18" s="41" t="s">
        <v>116</v>
      </c>
      <c r="R18" s="48">
        <v>2.8</v>
      </c>
      <c r="S18" s="48">
        <v>1.4</v>
      </c>
      <c r="T18" s="48">
        <v>4.2</v>
      </c>
      <c r="U18" s="41">
        <f t="shared" si="5"/>
        <v>2.7999999999999997E-2</v>
      </c>
      <c r="V18" s="41">
        <f t="shared" si="6"/>
        <v>1.3999999999999999E-2</v>
      </c>
      <c r="W18" s="41">
        <f t="shared" si="7"/>
        <v>4.2000000000000003E-2</v>
      </c>
      <c r="X18" s="41">
        <v>377.71012911642998</v>
      </c>
      <c r="Y18" s="41">
        <f t="shared" si="8"/>
        <v>10.575883615260038</v>
      </c>
      <c r="Z18" s="41">
        <f t="shared" si="9"/>
        <v>367.13424550116991</v>
      </c>
      <c r="AA18" s="41">
        <f t="shared" si="10"/>
        <v>2.8000000000000001E-2</v>
      </c>
      <c r="AB18" s="41">
        <f t="shared" si="11"/>
        <v>2.7170485177218356E-2</v>
      </c>
      <c r="AC18" s="41">
        <f t="shared" si="12"/>
        <v>1.3869673090788147E-2</v>
      </c>
      <c r="AD18" s="41">
        <f t="shared" si="13"/>
        <v>4.6834709447522438E-2</v>
      </c>
      <c r="AE18" s="41">
        <f t="shared" si="14"/>
        <v>-3.4694469519536142E-16</v>
      </c>
      <c r="AF18" s="41">
        <f t="shared" si="15"/>
        <v>1.3032690921185169E-2</v>
      </c>
      <c r="AG18" s="41">
        <f t="shared" si="16"/>
        <v>-0.4834709447522435</v>
      </c>
      <c r="CM18" s="41">
        <v>2015.5</v>
      </c>
      <c r="CN18" s="41" t="s">
        <v>210</v>
      </c>
      <c r="CO18" s="41" t="s">
        <v>43</v>
      </c>
      <c r="CP18" s="41" t="s">
        <v>117</v>
      </c>
      <c r="CQ18" s="41">
        <f>CT18/100</f>
        <v>3.3000000000000002E-2</v>
      </c>
      <c r="CR18" s="41">
        <f>CU18/100</f>
        <v>2.1000000000000001E-2</v>
      </c>
      <c r="CS18" s="41">
        <f>CV18/100</f>
        <v>4.5999999999999999E-2</v>
      </c>
      <c r="CT18" s="41">
        <v>3.3</v>
      </c>
      <c r="CU18" s="48">
        <v>2.1</v>
      </c>
      <c r="CV18" s="48">
        <v>4.5999999999999996</v>
      </c>
      <c r="CX18" s="41" t="s">
        <v>272</v>
      </c>
    </row>
    <row r="19" spans="1:102" x14ac:dyDescent="0.2">
      <c r="A19" s="43">
        <v>2010</v>
      </c>
      <c r="B19" s="43" t="s">
        <v>351</v>
      </c>
      <c r="C19" s="43" t="s">
        <v>44</v>
      </c>
      <c r="D19" s="43" t="s">
        <v>119</v>
      </c>
      <c r="E19" s="43">
        <v>6.9000000000000006E-2</v>
      </c>
      <c r="F19" s="43"/>
      <c r="G19" s="43">
        <v>457.636913354846</v>
      </c>
      <c r="O19" s="41">
        <f t="shared" si="3"/>
        <v>0</v>
      </c>
      <c r="P19" s="41" t="str">
        <f t="shared" si="4"/>
        <v>Male</v>
      </c>
      <c r="Q19" s="41" t="s">
        <v>116</v>
      </c>
      <c r="R19" s="48">
        <v>6.9</v>
      </c>
      <c r="S19" s="48">
        <v>4.7</v>
      </c>
      <c r="T19" s="48">
        <v>9.1999999999999993</v>
      </c>
      <c r="U19" s="41">
        <f t="shared" si="5"/>
        <v>6.9000000000000006E-2</v>
      </c>
      <c r="V19" s="41">
        <f t="shared" si="6"/>
        <v>4.7E-2</v>
      </c>
      <c r="W19" s="41">
        <f t="shared" si="7"/>
        <v>9.1999999999999998E-2</v>
      </c>
      <c r="X19" s="41">
        <v>377.71012911642998</v>
      </c>
      <c r="Y19" s="41">
        <f t="shared" si="8"/>
        <v>26.061998909033672</v>
      </c>
      <c r="Z19" s="41">
        <f t="shared" si="9"/>
        <v>351.64813020739632</v>
      </c>
      <c r="AA19" s="41">
        <f t="shared" si="10"/>
        <v>6.9000000000000006E-2</v>
      </c>
      <c r="AB19" s="41">
        <f t="shared" si="11"/>
        <v>6.8239879684570126E-2</v>
      </c>
      <c r="AC19" s="41">
        <f t="shared" si="12"/>
        <v>4.5712478336734121E-2</v>
      </c>
      <c r="AD19" s="41">
        <f t="shared" si="13"/>
        <v>9.6601591277979626E-2</v>
      </c>
      <c r="AE19" s="41">
        <f t="shared" si="14"/>
        <v>0</v>
      </c>
      <c r="AF19" s="41">
        <f t="shared" si="15"/>
        <v>0.12875216632658795</v>
      </c>
      <c r="AG19" s="41">
        <f t="shared" si="16"/>
        <v>-0.46015912779796275</v>
      </c>
      <c r="CM19" s="41">
        <v>2015.5</v>
      </c>
      <c r="CN19" s="41" t="s">
        <v>210</v>
      </c>
      <c r="CO19" s="41" t="s">
        <v>43</v>
      </c>
      <c r="CP19" s="41" t="s">
        <v>118</v>
      </c>
      <c r="CQ19" s="41">
        <f t="shared" ref="CQ19:CQ25" si="17">CT19/100</f>
        <v>6.4000000000000001E-2</v>
      </c>
      <c r="CR19" s="41">
        <f t="shared" ref="CR19:CS43" si="18">CU19/100</f>
        <v>4.7E-2</v>
      </c>
      <c r="CS19" s="41">
        <f t="shared" si="18"/>
        <v>8.1000000000000003E-2</v>
      </c>
      <c r="CT19" s="41">
        <v>6.4</v>
      </c>
      <c r="CU19" s="48">
        <v>4.7</v>
      </c>
      <c r="CV19" s="48">
        <v>8.1</v>
      </c>
      <c r="CX19" s="41" t="s">
        <v>273</v>
      </c>
    </row>
    <row r="20" spans="1:102" x14ac:dyDescent="0.2">
      <c r="A20" s="44">
        <v>2010</v>
      </c>
      <c r="B20" s="43" t="s">
        <v>351</v>
      </c>
      <c r="C20" s="44" t="s">
        <v>44</v>
      </c>
      <c r="D20" s="44" t="s">
        <v>120</v>
      </c>
      <c r="E20" s="44">
        <v>0.107</v>
      </c>
      <c r="F20" s="44"/>
      <c r="G20" s="44">
        <v>392.839150116822</v>
      </c>
      <c r="K20" s="41" t="s">
        <v>211</v>
      </c>
      <c r="O20" s="41">
        <f t="shared" si="3"/>
        <v>0</v>
      </c>
      <c r="P20" s="41" t="str">
        <f t="shared" si="4"/>
        <v>Male</v>
      </c>
      <c r="Q20" s="41" t="s">
        <v>116</v>
      </c>
      <c r="R20" s="48">
        <v>10.7</v>
      </c>
      <c r="S20" s="48">
        <v>7.8</v>
      </c>
      <c r="T20" s="48">
        <v>13.6</v>
      </c>
      <c r="U20" s="41">
        <f t="shared" si="5"/>
        <v>0.107</v>
      </c>
      <c r="V20" s="41">
        <f t="shared" si="6"/>
        <v>7.8E-2</v>
      </c>
      <c r="W20" s="41">
        <f t="shared" si="7"/>
        <v>0.13600000000000001</v>
      </c>
      <c r="X20" s="41">
        <v>377.71012911642998</v>
      </c>
      <c r="Y20" s="41">
        <f t="shared" si="8"/>
        <v>40.414983815458008</v>
      </c>
      <c r="Z20" s="41">
        <f t="shared" si="9"/>
        <v>337.29514530097197</v>
      </c>
      <c r="AA20" s="41">
        <f t="shared" si="10"/>
        <v>0.107</v>
      </c>
      <c r="AB20" s="41">
        <f t="shared" si="11"/>
        <v>0.106306327081495</v>
      </c>
      <c r="AC20" s="41">
        <f t="shared" si="12"/>
        <v>7.7900242400456454E-2</v>
      </c>
      <c r="AD20" s="41">
        <f t="shared" si="13"/>
        <v>0.14003739742717192</v>
      </c>
      <c r="AE20" s="41">
        <f t="shared" si="14"/>
        <v>0</v>
      </c>
      <c r="AF20" s="41">
        <f t="shared" si="15"/>
        <v>9.9757599543545683E-3</v>
      </c>
      <c r="AG20" s="41">
        <f t="shared" si="16"/>
        <v>-0.40373974271719071</v>
      </c>
      <c r="CM20" s="41">
        <v>2015.5</v>
      </c>
      <c r="CN20" s="41" t="s">
        <v>210</v>
      </c>
      <c r="CO20" s="41" t="s">
        <v>43</v>
      </c>
      <c r="CP20" s="41" t="s">
        <v>119</v>
      </c>
      <c r="CQ20" s="41">
        <f t="shared" si="17"/>
        <v>9.1999999999999998E-2</v>
      </c>
      <c r="CR20" s="41">
        <f t="shared" si="18"/>
        <v>7.2000000000000008E-2</v>
      </c>
      <c r="CS20" s="41">
        <f t="shared" si="18"/>
        <v>0.11199999999999999</v>
      </c>
      <c r="CT20" s="41">
        <v>9.1999999999999993</v>
      </c>
      <c r="CU20" s="48">
        <v>7.2</v>
      </c>
      <c r="CV20" s="48">
        <v>11.2</v>
      </c>
      <c r="CX20" s="41" t="s">
        <v>274</v>
      </c>
    </row>
    <row r="21" spans="1:102" x14ac:dyDescent="0.2">
      <c r="A21" s="43">
        <v>2010</v>
      </c>
      <c r="B21" s="43" t="s">
        <v>351</v>
      </c>
      <c r="C21" s="43" t="s">
        <v>44</v>
      </c>
      <c r="D21" s="43" t="s">
        <v>121</v>
      </c>
      <c r="E21" s="43">
        <v>0.182</v>
      </c>
      <c r="F21" s="43"/>
      <c r="G21" s="43">
        <v>272.73177262190899</v>
      </c>
      <c r="O21" s="41">
        <f t="shared" si="3"/>
        <v>0</v>
      </c>
      <c r="P21" s="41" t="str">
        <f t="shared" si="4"/>
        <v>Male</v>
      </c>
      <c r="Q21" s="41" t="s">
        <v>116</v>
      </c>
      <c r="R21" s="48">
        <v>18.2</v>
      </c>
      <c r="S21" s="48">
        <v>14</v>
      </c>
      <c r="T21" s="48">
        <v>22.3</v>
      </c>
      <c r="U21" s="41">
        <f t="shared" si="5"/>
        <v>0.182</v>
      </c>
      <c r="V21" s="41">
        <f t="shared" si="6"/>
        <v>0.14000000000000001</v>
      </c>
      <c r="W21" s="41">
        <f t="shared" si="7"/>
        <v>0.223</v>
      </c>
      <c r="X21" s="41">
        <v>377.71012911642998</v>
      </c>
      <c r="Y21" s="41">
        <f t="shared" si="8"/>
        <v>68.743243499190257</v>
      </c>
      <c r="Z21" s="41">
        <f t="shared" si="9"/>
        <v>308.96688561723977</v>
      </c>
      <c r="AA21" s="41">
        <f t="shared" si="10"/>
        <v>0.18199999999999997</v>
      </c>
      <c r="AB21" s="41">
        <f t="shared" si="11"/>
        <v>0.18143837123112552</v>
      </c>
      <c r="AC21" s="41">
        <f t="shared" si="12"/>
        <v>0.14478001302601629</v>
      </c>
      <c r="AD21" s="41">
        <f t="shared" si="13"/>
        <v>0.22240848569536054</v>
      </c>
      <c r="AE21" s="41">
        <f t="shared" si="14"/>
        <v>2.7755575615628914E-15</v>
      </c>
      <c r="AF21" s="41">
        <f t="shared" si="15"/>
        <v>-0.47800130260162721</v>
      </c>
      <c r="AG21" s="41">
        <f t="shared" si="16"/>
        <v>5.9151430463946775E-2</v>
      </c>
      <c r="CM21" s="41">
        <v>2015.5</v>
      </c>
      <c r="CN21" s="41" t="s">
        <v>210</v>
      </c>
      <c r="CO21" s="41" t="s">
        <v>43</v>
      </c>
      <c r="CP21" s="41" t="s">
        <v>120</v>
      </c>
      <c r="CQ21" s="41">
        <f t="shared" si="17"/>
        <v>0.16200000000000001</v>
      </c>
      <c r="CR21" s="41">
        <f t="shared" si="18"/>
        <v>0.129</v>
      </c>
      <c r="CS21" s="41">
        <f t="shared" si="18"/>
        <v>0.19399999999999998</v>
      </c>
      <c r="CT21" s="41">
        <v>16.2</v>
      </c>
      <c r="CU21" s="48">
        <v>12.9</v>
      </c>
      <c r="CV21" s="48">
        <v>19.399999999999999</v>
      </c>
      <c r="CX21" s="41" t="s">
        <v>275</v>
      </c>
    </row>
    <row r="22" spans="1:102" x14ac:dyDescent="0.2">
      <c r="A22" s="44">
        <v>2010</v>
      </c>
      <c r="B22" s="43" t="s">
        <v>351</v>
      </c>
      <c r="C22" s="44" t="s">
        <v>44</v>
      </c>
      <c r="D22" s="44" t="s">
        <v>122</v>
      </c>
      <c r="E22" s="44">
        <v>0.20800000000000002</v>
      </c>
      <c r="F22" s="44"/>
      <c r="G22" s="44">
        <v>189.45500300480799</v>
      </c>
      <c r="O22" s="41">
        <f t="shared" si="3"/>
        <v>0</v>
      </c>
      <c r="P22" s="41" t="str">
        <f t="shared" si="4"/>
        <v>Male</v>
      </c>
      <c r="Q22" s="41" t="s">
        <v>116</v>
      </c>
      <c r="R22" s="48">
        <v>20.8</v>
      </c>
      <c r="S22" s="48">
        <v>15.6</v>
      </c>
      <c r="T22" s="48">
        <v>25.9</v>
      </c>
      <c r="U22" s="41">
        <f t="shared" si="5"/>
        <v>0.20800000000000002</v>
      </c>
      <c r="V22" s="41">
        <f t="shared" si="6"/>
        <v>0.156</v>
      </c>
      <c r="W22" s="41">
        <f t="shared" si="7"/>
        <v>0.25900000000000001</v>
      </c>
      <c r="X22" s="41">
        <v>377.71012911642998</v>
      </c>
      <c r="Y22" s="41">
        <f t="shared" si="8"/>
        <v>78.563706856217436</v>
      </c>
      <c r="Z22" s="41">
        <f t="shared" si="9"/>
        <v>299.14642226021255</v>
      </c>
      <c r="AA22" s="41">
        <f t="shared" si="10"/>
        <v>0.20799999999999999</v>
      </c>
      <c r="AB22" s="41">
        <f t="shared" si="11"/>
        <v>0.20748423753507675</v>
      </c>
      <c r="AC22" s="41">
        <f t="shared" si="12"/>
        <v>0.16862859526195095</v>
      </c>
      <c r="AD22" s="41">
        <f t="shared" si="13"/>
        <v>0.25029957408832959</v>
      </c>
      <c r="AE22" s="41">
        <f t="shared" si="14"/>
        <v>2.7755575615628914E-15</v>
      </c>
      <c r="AF22" s="41">
        <f t="shared" si="15"/>
        <v>-1.2628595261950952</v>
      </c>
      <c r="AG22" s="41">
        <f t="shared" si="16"/>
        <v>0.87004259116704175</v>
      </c>
      <c r="CM22" s="41">
        <v>2015.5</v>
      </c>
      <c r="CN22" s="41" t="s">
        <v>210</v>
      </c>
      <c r="CO22" s="41" t="s">
        <v>43</v>
      </c>
      <c r="CP22" s="41" t="s">
        <v>121</v>
      </c>
      <c r="CQ22" s="41">
        <f t="shared" si="17"/>
        <v>0.18100000000000002</v>
      </c>
      <c r="CR22" s="41">
        <f t="shared" si="18"/>
        <v>0.15</v>
      </c>
      <c r="CS22" s="41">
        <f t="shared" si="18"/>
        <v>0.21199999999999999</v>
      </c>
      <c r="CT22" s="41">
        <v>18.100000000000001</v>
      </c>
      <c r="CU22" s="48">
        <v>15</v>
      </c>
      <c r="CV22" s="48">
        <v>21.2</v>
      </c>
      <c r="CX22" s="41" t="s">
        <v>276</v>
      </c>
    </row>
    <row r="23" spans="1:102" x14ac:dyDescent="0.2">
      <c r="A23" s="43">
        <v>2010</v>
      </c>
      <c r="B23" s="43" t="s">
        <v>351</v>
      </c>
      <c r="C23" s="43" t="s">
        <v>44</v>
      </c>
      <c r="D23" s="43" t="s">
        <v>123</v>
      </c>
      <c r="E23" s="43">
        <v>0.15</v>
      </c>
      <c r="F23" s="43"/>
      <c r="G23" s="43">
        <v>237.333170572917</v>
      </c>
      <c r="O23" s="41">
        <f t="shared" si="3"/>
        <v>0</v>
      </c>
      <c r="P23" s="41" t="str">
        <f t="shared" si="4"/>
        <v>Male</v>
      </c>
      <c r="Q23" s="41" t="s">
        <v>116</v>
      </c>
      <c r="R23" s="48">
        <v>15</v>
      </c>
      <c r="S23" s="48">
        <v>10.8</v>
      </c>
      <c r="T23" s="48">
        <v>19.2</v>
      </c>
      <c r="U23" s="41">
        <f t="shared" si="5"/>
        <v>0.15</v>
      </c>
      <c r="V23" s="41">
        <f t="shared" si="6"/>
        <v>0.10800000000000001</v>
      </c>
      <c r="W23" s="41">
        <f t="shared" si="7"/>
        <v>0.192</v>
      </c>
      <c r="X23" s="41">
        <v>377.71012911642998</v>
      </c>
      <c r="Y23" s="41">
        <f t="shared" si="8"/>
        <v>56.656519367464497</v>
      </c>
      <c r="Z23" s="41">
        <f t="shared" si="9"/>
        <v>321.05360974896547</v>
      </c>
      <c r="AA23" s="41">
        <f t="shared" si="10"/>
        <v>0.15</v>
      </c>
      <c r="AB23" s="41">
        <f t="shared" si="11"/>
        <v>0.14938196600548323</v>
      </c>
      <c r="AC23" s="41">
        <f t="shared" si="12"/>
        <v>0.11584383030062238</v>
      </c>
      <c r="AD23" s="41">
        <f t="shared" si="13"/>
        <v>0.18766475946537575</v>
      </c>
      <c r="AE23" s="41">
        <f t="shared" si="14"/>
        <v>0</v>
      </c>
      <c r="AF23" s="41">
        <f t="shared" si="15"/>
        <v>-0.78438303006223697</v>
      </c>
      <c r="AG23" s="41">
        <f t="shared" si="16"/>
        <v>0.43352405346242517</v>
      </c>
      <c r="CM23" s="41">
        <v>2015.5</v>
      </c>
      <c r="CN23" s="41" t="s">
        <v>210</v>
      </c>
      <c r="CO23" s="41" t="s">
        <v>43</v>
      </c>
      <c r="CP23" s="41" t="s">
        <v>122</v>
      </c>
      <c r="CQ23" s="41">
        <f t="shared" si="17"/>
        <v>0.19800000000000001</v>
      </c>
      <c r="CR23" s="41">
        <f t="shared" si="18"/>
        <v>0.159</v>
      </c>
      <c r="CS23" s="41">
        <f t="shared" si="18"/>
        <v>0.23699999999999999</v>
      </c>
      <c r="CT23" s="41">
        <v>19.8</v>
      </c>
      <c r="CU23" s="48">
        <v>15.9</v>
      </c>
      <c r="CV23" s="48">
        <v>23.7</v>
      </c>
      <c r="CX23" s="41" t="s">
        <v>277</v>
      </c>
    </row>
    <row r="24" spans="1:102" x14ac:dyDescent="0.2">
      <c r="A24" s="44">
        <v>2010</v>
      </c>
      <c r="B24" s="43" t="s">
        <v>351</v>
      </c>
      <c r="C24" s="44" t="s">
        <v>44</v>
      </c>
      <c r="D24" s="44" t="s">
        <v>116</v>
      </c>
      <c r="E24" s="44">
        <v>8.1000000000000003E-2</v>
      </c>
      <c r="F24" s="44"/>
      <c r="G24" s="44">
        <v>2375.7785373263901</v>
      </c>
      <c r="O24" s="41">
        <f t="shared" si="3"/>
        <v>0</v>
      </c>
      <c r="P24" s="41" t="str">
        <f t="shared" si="4"/>
        <v>Male</v>
      </c>
      <c r="Q24" s="41" t="s">
        <v>116</v>
      </c>
      <c r="R24" s="48">
        <v>8.1</v>
      </c>
      <c r="S24" s="48">
        <v>7.1</v>
      </c>
      <c r="T24" s="48">
        <v>9.1999999999999993</v>
      </c>
      <c r="U24" s="41">
        <f t="shared" si="5"/>
        <v>8.1000000000000003E-2</v>
      </c>
      <c r="V24" s="41">
        <f t="shared" si="6"/>
        <v>7.0999999999999994E-2</v>
      </c>
      <c r="W24" s="41">
        <f t="shared" si="7"/>
        <v>9.1999999999999998E-2</v>
      </c>
      <c r="X24" s="41">
        <v>377.71012911642998</v>
      </c>
      <c r="Y24" s="41">
        <f t="shared" si="8"/>
        <v>30.594520458430829</v>
      </c>
      <c r="Z24" s="41">
        <f t="shared" si="9"/>
        <v>347.11560865799919</v>
      </c>
      <c r="AA24" s="41">
        <f t="shared" si="10"/>
        <v>8.0999999999999989E-2</v>
      </c>
      <c r="AB24" s="41">
        <f t="shared" si="11"/>
        <v>8.0260788224365637E-2</v>
      </c>
      <c r="AC24" s="41">
        <f t="shared" si="12"/>
        <v>5.5694232164890826E-2</v>
      </c>
      <c r="AD24" s="41">
        <f t="shared" si="13"/>
        <v>0.11050148059458009</v>
      </c>
      <c r="AE24" s="41">
        <f t="shared" si="14"/>
        <v>1.3877787807814457E-15</v>
      </c>
      <c r="AF24" s="41">
        <f t="shared" si="15"/>
        <v>1.5305767835109167</v>
      </c>
      <c r="AG24" s="41">
        <f t="shared" si="16"/>
        <v>-1.8501480594580095</v>
      </c>
      <c r="CM24" s="41">
        <v>2015.5</v>
      </c>
      <c r="CN24" s="41" t="s">
        <v>210</v>
      </c>
      <c r="CO24" s="41" t="s">
        <v>43</v>
      </c>
      <c r="CP24" s="41" t="s">
        <v>123</v>
      </c>
      <c r="CQ24" s="41">
        <f t="shared" si="17"/>
        <v>0.16899999999999998</v>
      </c>
      <c r="CR24" s="41">
        <f t="shared" si="18"/>
        <v>0.129</v>
      </c>
      <c r="CS24" s="41">
        <f t="shared" si="18"/>
        <v>0.21</v>
      </c>
      <c r="CT24" s="41">
        <v>16.899999999999999</v>
      </c>
      <c r="CU24" s="48">
        <v>12.9</v>
      </c>
      <c r="CV24" s="48">
        <v>21</v>
      </c>
      <c r="CX24" s="41" t="s">
        <v>278</v>
      </c>
    </row>
    <row r="25" spans="1:102" x14ac:dyDescent="0.2">
      <c r="A25" s="44">
        <v>2004</v>
      </c>
      <c r="B25" s="44" t="s">
        <v>351</v>
      </c>
      <c r="C25" s="44" t="s">
        <v>44</v>
      </c>
      <c r="D25" s="44" t="s">
        <v>117</v>
      </c>
      <c r="E25" s="44">
        <v>4.0000000000000001E-3</v>
      </c>
      <c r="F25" s="43">
        <v>0.25</v>
      </c>
      <c r="G25" s="44">
        <v>636.21597290039097</v>
      </c>
      <c r="O25" s="41">
        <f t="shared" si="3"/>
        <v>0</v>
      </c>
      <c r="P25" s="41" t="str">
        <f t="shared" si="4"/>
        <v>Male</v>
      </c>
      <c r="Q25" s="41" t="s">
        <v>116</v>
      </c>
      <c r="R25" s="48">
        <v>0.4</v>
      </c>
      <c r="S25" s="48">
        <v>0</v>
      </c>
      <c r="T25" s="48">
        <v>1</v>
      </c>
      <c r="U25" s="41">
        <f t="shared" si="5"/>
        <v>4.0000000000000001E-3</v>
      </c>
      <c r="V25" s="41">
        <f t="shared" si="6"/>
        <v>0</v>
      </c>
      <c r="W25" s="41">
        <f t="shared" si="7"/>
        <v>0.01</v>
      </c>
      <c r="X25" s="41">
        <v>377.71012911642998</v>
      </c>
      <c r="Y25" s="41">
        <f t="shared" si="8"/>
        <v>1.5108405164657199</v>
      </c>
      <c r="Z25" s="41">
        <f t="shared" si="9"/>
        <v>376.19928859996423</v>
      </c>
      <c r="AA25" s="41">
        <f t="shared" si="10"/>
        <v>4.000000000000001E-3</v>
      </c>
      <c r="AB25" s="41">
        <f t="shared" si="11"/>
        <v>3.1658520088224487E-3</v>
      </c>
      <c r="AC25" s="41">
        <f t="shared" si="12"/>
        <v>2.9298112229361305E-4</v>
      </c>
      <c r="AD25" s="41">
        <f t="shared" si="13"/>
        <v>1.2392631512259555E-2</v>
      </c>
      <c r="AE25" s="41">
        <f t="shared" si="14"/>
        <v>-8.6736173798840355E-17</v>
      </c>
      <c r="AF25" s="41">
        <f t="shared" si="15"/>
        <v>-2.9298112229361305E-2</v>
      </c>
      <c r="AG25" s="41">
        <f t="shared" si="16"/>
        <v>-0.23926315122595551</v>
      </c>
      <c r="CM25" s="41">
        <v>2015.5</v>
      </c>
      <c r="CN25" s="41" t="s">
        <v>210</v>
      </c>
      <c r="CO25" s="41" t="s">
        <v>43</v>
      </c>
      <c r="CP25" s="41" t="s">
        <v>116</v>
      </c>
      <c r="CQ25" s="41">
        <f t="shared" si="17"/>
        <v>0.10800000000000001</v>
      </c>
      <c r="CR25" s="41">
        <f t="shared" si="18"/>
        <v>9.6000000000000002E-2</v>
      </c>
      <c r="CS25" s="41">
        <f t="shared" si="18"/>
        <v>0.11900000000000001</v>
      </c>
      <c r="CT25" s="41">
        <v>10.8</v>
      </c>
      <c r="CU25" s="48">
        <v>9.6</v>
      </c>
      <c r="CV25" s="48">
        <v>11.9</v>
      </c>
      <c r="CX25" s="41" t="s">
        <v>279</v>
      </c>
    </row>
    <row r="26" spans="1:102" x14ac:dyDescent="0.2">
      <c r="A26" s="43">
        <v>2004</v>
      </c>
      <c r="B26" s="44" t="s">
        <v>351</v>
      </c>
      <c r="C26" s="43" t="s">
        <v>44</v>
      </c>
      <c r="D26" s="43" t="s">
        <v>118</v>
      </c>
      <c r="E26" s="43">
        <v>3.9E-2</v>
      </c>
      <c r="F26" s="43">
        <v>0.25</v>
      </c>
      <c r="G26" s="43">
        <v>317.78861803886201</v>
      </c>
      <c r="O26" s="41">
        <f t="shared" si="3"/>
        <v>0</v>
      </c>
      <c r="P26" s="41" t="str">
        <f t="shared" si="4"/>
        <v>Male</v>
      </c>
      <c r="Q26" s="41" t="s">
        <v>116</v>
      </c>
      <c r="R26" s="48">
        <v>3.9</v>
      </c>
      <c r="S26" s="48">
        <v>1.7</v>
      </c>
      <c r="T26" s="48">
        <v>6</v>
      </c>
      <c r="U26" s="41">
        <f t="shared" si="5"/>
        <v>3.9E-2</v>
      </c>
      <c r="V26" s="41">
        <f t="shared" si="6"/>
        <v>1.7000000000000001E-2</v>
      </c>
      <c r="W26" s="41">
        <f t="shared" si="7"/>
        <v>0.06</v>
      </c>
      <c r="X26" s="41">
        <v>377.71012911642998</v>
      </c>
      <c r="Y26" s="41">
        <f t="shared" si="8"/>
        <v>14.730695035540769</v>
      </c>
      <c r="Z26" s="41">
        <f t="shared" si="9"/>
        <v>362.97943408088918</v>
      </c>
      <c r="AA26" s="41">
        <f t="shared" si="10"/>
        <v>3.9000000000000007E-2</v>
      </c>
      <c r="AB26" s="41">
        <f t="shared" si="11"/>
        <v>3.8188450846704101E-2</v>
      </c>
      <c r="AC26" s="41">
        <f t="shared" si="12"/>
        <v>2.1915984738271832E-2</v>
      </c>
      <c r="AD26" s="41">
        <f t="shared" si="13"/>
        <v>6.0688173055329253E-2</v>
      </c>
      <c r="AE26" s="41">
        <f t="shared" si="14"/>
        <v>-6.9388939039072284E-16</v>
      </c>
      <c r="AF26" s="41">
        <f t="shared" si="15"/>
        <v>-0.49159847382718308</v>
      </c>
      <c r="AG26" s="41">
        <f t="shared" si="16"/>
        <v>-6.8817305532925532E-2</v>
      </c>
      <c r="CM26" s="41" t="s">
        <v>211</v>
      </c>
      <c r="CN26" s="41" t="s">
        <v>211</v>
      </c>
      <c r="CP26" s="41" t="s">
        <v>211</v>
      </c>
      <c r="CU26" s="48"/>
      <c r="CV26" s="48"/>
    </row>
    <row r="27" spans="1:102" x14ac:dyDescent="0.2">
      <c r="A27" s="44">
        <v>2004</v>
      </c>
      <c r="B27" s="44" t="s">
        <v>351</v>
      </c>
      <c r="C27" s="44" t="s">
        <v>44</v>
      </c>
      <c r="D27" s="44" t="s">
        <v>119</v>
      </c>
      <c r="E27" s="44">
        <v>9.8000000000000004E-2</v>
      </c>
      <c r="F27" s="43">
        <v>0.25</v>
      </c>
      <c r="G27" s="44">
        <v>284.98721998564997</v>
      </c>
      <c r="I27" s="41" t="s">
        <v>285</v>
      </c>
      <c r="O27" s="41">
        <f t="shared" si="3"/>
        <v>0</v>
      </c>
      <c r="P27" s="41" t="str">
        <f t="shared" si="4"/>
        <v>Male</v>
      </c>
      <c r="Q27" s="41" t="s">
        <v>116</v>
      </c>
      <c r="R27" s="48">
        <v>9.8000000000000007</v>
      </c>
      <c r="S27" s="48">
        <v>6.5</v>
      </c>
      <c r="T27" s="48">
        <v>13.1</v>
      </c>
      <c r="U27" s="41">
        <f t="shared" si="5"/>
        <v>9.8000000000000004E-2</v>
      </c>
      <c r="V27" s="41">
        <f t="shared" si="6"/>
        <v>6.5000000000000002E-2</v>
      </c>
      <c r="W27" s="41">
        <f t="shared" si="7"/>
        <v>0.13100000000000001</v>
      </c>
      <c r="X27" s="41">
        <v>377.71012911642998</v>
      </c>
      <c r="Y27" s="41">
        <f t="shared" si="8"/>
        <v>37.015592653410138</v>
      </c>
      <c r="Z27" s="41">
        <f t="shared" si="9"/>
        <v>340.69453646301986</v>
      </c>
      <c r="AA27" s="41">
        <f t="shared" si="10"/>
        <v>9.8000000000000004E-2</v>
      </c>
      <c r="AB27" s="41">
        <f t="shared" si="11"/>
        <v>9.7290537901596308E-2</v>
      </c>
      <c r="AC27" s="41">
        <f t="shared" si="12"/>
        <v>7.0136677523537083E-2</v>
      </c>
      <c r="AD27" s="41">
        <f t="shared" si="13"/>
        <v>0.12989047252702957</v>
      </c>
      <c r="AE27" s="41">
        <f t="shared" si="14"/>
        <v>0</v>
      </c>
      <c r="AF27" s="41">
        <f t="shared" si="15"/>
        <v>-0.5136677523537081</v>
      </c>
      <c r="AG27" s="41">
        <f t="shared" si="16"/>
        <v>0.11095274729704396</v>
      </c>
      <c r="CM27" s="41">
        <v>2010</v>
      </c>
      <c r="CN27" s="41" t="s">
        <v>210</v>
      </c>
      <c r="CO27" s="41" t="s">
        <v>43</v>
      </c>
      <c r="CP27" s="41" t="s">
        <v>117</v>
      </c>
      <c r="CQ27" s="41">
        <f t="shared" ref="CQ27:CQ34" si="19">CT27/100</f>
        <v>4.2000000000000003E-2</v>
      </c>
      <c r="CR27" s="41">
        <f t="shared" si="18"/>
        <v>2.7999999999999997E-2</v>
      </c>
      <c r="CS27" s="41">
        <f t="shared" si="18"/>
        <v>5.5E-2</v>
      </c>
      <c r="CT27" s="41">
        <v>4.2</v>
      </c>
      <c r="CU27" s="48">
        <v>2.8</v>
      </c>
      <c r="CV27" s="48">
        <v>5.5</v>
      </c>
      <c r="CX27" s="41" t="s">
        <v>272</v>
      </c>
    </row>
    <row r="28" spans="1:102" x14ac:dyDescent="0.2">
      <c r="A28" s="43">
        <v>2004</v>
      </c>
      <c r="B28" s="44" t="s">
        <v>351</v>
      </c>
      <c r="C28" s="43" t="s">
        <v>44</v>
      </c>
      <c r="D28" s="43" t="s">
        <v>120</v>
      </c>
      <c r="E28" s="43">
        <v>0.20399999999999999</v>
      </c>
      <c r="F28" s="43">
        <v>0.25</v>
      </c>
      <c r="G28" s="43">
        <v>150.65798291972999</v>
      </c>
      <c r="O28" s="41">
        <f t="shared" si="3"/>
        <v>0</v>
      </c>
      <c r="P28" s="41" t="str">
        <f t="shared" si="4"/>
        <v>Male</v>
      </c>
      <c r="Q28" s="41" t="s">
        <v>116</v>
      </c>
      <c r="R28" s="48">
        <v>20.399999999999999</v>
      </c>
      <c r="S28" s="48">
        <v>14.6</v>
      </c>
      <c r="T28" s="48">
        <v>26.1</v>
      </c>
      <c r="U28" s="41">
        <f t="shared" si="5"/>
        <v>0.20399999999999999</v>
      </c>
      <c r="V28" s="41">
        <f t="shared" si="6"/>
        <v>0.14599999999999999</v>
      </c>
      <c r="W28" s="41">
        <f t="shared" si="7"/>
        <v>0.26100000000000001</v>
      </c>
      <c r="X28" s="41">
        <v>377.71012911642998</v>
      </c>
      <c r="Y28" s="41">
        <f t="shared" si="8"/>
        <v>77.052866339751716</v>
      </c>
      <c r="Z28" s="41">
        <f t="shared" si="9"/>
        <v>300.65726277667829</v>
      </c>
      <c r="AA28" s="41">
        <f t="shared" si="10"/>
        <v>0.20399999999999996</v>
      </c>
      <c r="AB28" s="41">
        <f t="shared" si="11"/>
        <v>0.20347717960062611</v>
      </c>
      <c r="AC28" s="41">
        <f t="shared" si="12"/>
        <v>0.16494200888108745</v>
      </c>
      <c r="AD28" s="41">
        <f t="shared" si="13"/>
        <v>0.24602622203098967</v>
      </c>
      <c r="AE28" s="41">
        <f t="shared" si="14"/>
        <v>2.7755575615628914E-15</v>
      </c>
      <c r="AF28" s="41">
        <f t="shared" si="15"/>
        <v>-1.8942008881087462</v>
      </c>
      <c r="AG28" s="41">
        <f t="shared" si="16"/>
        <v>1.4973777969010338</v>
      </c>
      <c r="CM28" s="41">
        <v>2010</v>
      </c>
      <c r="CN28" s="41" t="s">
        <v>210</v>
      </c>
      <c r="CO28" s="41" t="s">
        <v>43</v>
      </c>
      <c r="CP28" s="41" t="s">
        <v>118</v>
      </c>
      <c r="CQ28" s="41">
        <f t="shared" si="19"/>
        <v>6.4000000000000001E-2</v>
      </c>
      <c r="CR28" s="41">
        <f t="shared" si="18"/>
        <v>4.7E-2</v>
      </c>
      <c r="CS28" s="41">
        <f t="shared" si="18"/>
        <v>8.1000000000000003E-2</v>
      </c>
      <c r="CT28" s="41">
        <v>6.4</v>
      </c>
      <c r="CU28" s="48">
        <v>4.7</v>
      </c>
      <c r="CV28" s="48">
        <v>8.1</v>
      </c>
      <c r="CX28" s="41" t="s">
        <v>273</v>
      </c>
    </row>
    <row r="29" spans="1:102" x14ac:dyDescent="0.2">
      <c r="A29" s="44">
        <v>2004</v>
      </c>
      <c r="B29" s="44" t="s">
        <v>351</v>
      </c>
      <c r="C29" s="44" t="s">
        <v>44</v>
      </c>
      <c r="D29" s="44" t="s">
        <v>121</v>
      </c>
      <c r="E29" s="44">
        <v>0.184</v>
      </c>
      <c r="F29" s="43">
        <v>0.25</v>
      </c>
      <c r="G29" s="44">
        <v>108.568805197011</v>
      </c>
      <c r="O29" s="41">
        <f t="shared" si="3"/>
        <v>0</v>
      </c>
      <c r="P29" s="41" t="str">
        <f t="shared" si="4"/>
        <v>Male</v>
      </c>
      <c r="Q29" s="41" t="s">
        <v>116</v>
      </c>
      <c r="R29" s="48">
        <v>18.399999999999999</v>
      </c>
      <c r="S29" s="48">
        <v>11.8</v>
      </c>
      <c r="T29" s="48">
        <v>25</v>
      </c>
      <c r="U29" s="41">
        <f t="shared" si="5"/>
        <v>0.184</v>
      </c>
      <c r="V29" s="41">
        <f t="shared" si="6"/>
        <v>0.11800000000000001</v>
      </c>
      <c r="W29" s="41">
        <f t="shared" si="7"/>
        <v>0.25</v>
      </c>
      <c r="X29" s="41">
        <v>377.71012911642998</v>
      </c>
      <c r="Y29" s="41">
        <f t="shared" si="8"/>
        <v>69.498663757423117</v>
      </c>
      <c r="Z29" s="41">
        <f t="shared" si="9"/>
        <v>308.21146535900687</v>
      </c>
      <c r="AA29" s="41">
        <f t="shared" si="10"/>
        <v>0.184</v>
      </c>
      <c r="AB29" s="41">
        <f t="shared" si="11"/>
        <v>0.18344189845063968</v>
      </c>
      <c r="AC29" s="41">
        <f t="shared" si="12"/>
        <v>0.14660455058510669</v>
      </c>
      <c r="AD29" s="41">
        <f t="shared" si="13"/>
        <v>0.22456392940052605</v>
      </c>
      <c r="AE29" s="41">
        <f t="shared" si="14"/>
        <v>0</v>
      </c>
      <c r="AF29" s="41">
        <f t="shared" si="15"/>
        <v>-2.8604550585106678</v>
      </c>
      <c r="AG29" s="41">
        <f t="shared" si="16"/>
        <v>2.5436070599473948</v>
      </c>
      <c r="CM29" s="41">
        <v>2010</v>
      </c>
      <c r="CN29" s="41" t="s">
        <v>210</v>
      </c>
      <c r="CO29" s="41" t="s">
        <v>43</v>
      </c>
      <c r="CP29" s="41" t="s">
        <v>119</v>
      </c>
      <c r="CQ29" s="41">
        <f t="shared" si="19"/>
        <v>0.13500000000000001</v>
      </c>
      <c r="CR29" s="41">
        <f t="shared" si="18"/>
        <v>0.11</v>
      </c>
      <c r="CS29" s="41">
        <f t="shared" si="18"/>
        <v>0.161</v>
      </c>
      <c r="CT29" s="41">
        <v>13.5</v>
      </c>
      <c r="CU29" s="48">
        <v>11</v>
      </c>
      <c r="CV29" s="48">
        <v>16.100000000000001</v>
      </c>
      <c r="CX29" s="41" t="s">
        <v>274</v>
      </c>
    </row>
    <row r="30" spans="1:102" x14ac:dyDescent="0.2">
      <c r="A30" s="43">
        <v>2004</v>
      </c>
      <c r="B30" s="44" t="s">
        <v>351</v>
      </c>
      <c r="C30" s="43" t="s">
        <v>44</v>
      </c>
      <c r="D30" s="43" t="s">
        <v>122</v>
      </c>
      <c r="E30" s="43">
        <v>0.16500000000000001</v>
      </c>
      <c r="F30" s="43">
        <v>0.25</v>
      </c>
      <c r="G30" s="43">
        <v>118.113754734848</v>
      </c>
      <c r="K30" s="41" t="s">
        <v>286</v>
      </c>
      <c r="O30" s="41">
        <f t="shared" si="3"/>
        <v>0</v>
      </c>
      <c r="P30" s="41" t="str">
        <f t="shared" si="4"/>
        <v>Male</v>
      </c>
      <c r="Q30" s="41" t="s">
        <v>116</v>
      </c>
      <c r="R30" s="48">
        <v>16.5</v>
      </c>
      <c r="S30" s="48">
        <v>10.3</v>
      </c>
      <c r="T30" s="48">
        <v>22.6</v>
      </c>
      <c r="U30" s="41">
        <f t="shared" si="5"/>
        <v>0.16500000000000001</v>
      </c>
      <c r="V30" s="41">
        <f t="shared" si="6"/>
        <v>0.10300000000000001</v>
      </c>
      <c r="W30" s="41">
        <f t="shared" si="7"/>
        <v>0.22600000000000001</v>
      </c>
      <c r="X30" s="41">
        <v>377.71012911642998</v>
      </c>
      <c r="Y30" s="41">
        <f t="shared" si="8"/>
        <v>62.322171304210947</v>
      </c>
      <c r="Z30" s="41">
        <f t="shared" si="9"/>
        <v>315.38795781221904</v>
      </c>
      <c r="AA30" s="41">
        <f t="shared" si="10"/>
        <v>0.16500000000000001</v>
      </c>
      <c r="AB30" s="41">
        <f t="shared" si="11"/>
        <v>0.16440839802578736</v>
      </c>
      <c r="AC30" s="41">
        <f t="shared" si="12"/>
        <v>0.12934485578647376</v>
      </c>
      <c r="AD30" s="41">
        <f t="shared" si="13"/>
        <v>0.2040137459479473</v>
      </c>
      <c r="AE30" s="41">
        <f t="shared" si="14"/>
        <v>0</v>
      </c>
      <c r="AF30" s="41">
        <f t="shared" si="15"/>
        <v>-2.6344855786473746</v>
      </c>
      <c r="AG30" s="41">
        <f t="shared" si="16"/>
        <v>2.1986254052052705</v>
      </c>
      <c r="CM30" s="41">
        <v>2010</v>
      </c>
      <c r="CN30" s="41" t="s">
        <v>210</v>
      </c>
      <c r="CO30" s="41" t="s">
        <v>43</v>
      </c>
      <c r="CP30" s="41" t="s">
        <v>120</v>
      </c>
      <c r="CQ30" s="41">
        <f t="shared" si="19"/>
        <v>0.20699999999999999</v>
      </c>
      <c r="CR30" s="41">
        <f t="shared" si="18"/>
        <v>0.17199999999999999</v>
      </c>
      <c r="CS30" s="41">
        <f t="shared" si="18"/>
        <v>0.24299999999999999</v>
      </c>
      <c r="CT30" s="41">
        <v>20.7</v>
      </c>
      <c r="CU30" s="48">
        <v>17.2</v>
      </c>
      <c r="CV30" s="48">
        <v>24.3</v>
      </c>
      <c r="CX30" s="41" t="s">
        <v>275</v>
      </c>
    </row>
    <row r="31" spans="1:102" x14ac:dyDescent="0.2">
      <c r="A31" s="44">
        <v>2004</v>
      </c>
      <c r="B31" s="44" t="s">
        <v>351</v>
      </c>
      <c r="C31" s="44" t="s">
        <v>44</v>
      </c>
      <c r="D31" s="44" t="s">
        <v>123</v>
      </c>
      <c r="E31" s="44">
        <v>9.5000000000000001E-2</v>
      </c>
      <c r="F31" s="43">
        <v>0.25</v>
      </c>
      <c r="G31" s="44">
        <v>105.12438322368401</v>
      </c>
      <c r="O31" s="41">
        <f t="shared" si="3"/>
        <v>0</v>
      </c>
      <c r="P31" s="41" t="str">
        <f t="shared" si="4"/>
        <v>Male</v>
      </c>
      <c r="Q31" s="41" t="s">
        <v>116</v>
      </c>
      <c r="R31" s="48">
        <v>9.5</v>
      </c>
      <c r="S31" s="48">
        <v>4</v>
      </c>
      <c r="T31" s="48">
        <v>14.9</v>
      </c>
      <c r="U31" s="41">
        <f t="shared" si="5"/>
        <v>9.5000000000000001E-2</v>
      </c>
      <c r="V31" s="41">
        <f t="shared" si="6"/>
        <v>0.04</v>
      </c>
      <c r="W31" s="41">
        <f t="shared" si="7"/>
        <v>0.14899999999999999</v>
      </c>
      <c r="X31" s="41">
        <v>377.71012911642998</v>
      </c>
      <c r="Y31" s="41">
        <f t="shared" si="8"/>
        <v>35.882462266060848</v>
      </c>
      <c r="Z31" s="41">
        <f t="shared" si="9"/>
        <v>341.82766685036916</v>
      </c>
      <c r="AA31" s="41">
        <f t="shared" si="10"/>
        <v>9.5000000000000001E-2</v>
      </c>
      <c r="AB31" s="41">
        <f t="shared" si="11"/>
        <v>9.428527999343593E-2</v>
      </c>
      <c r="AC31" s="41">
        <f t="shared" si="12"/>
        <v>6.756571076524899E-2</v>
      </c>
      <c r="AD31" s="41">
        <f t="shared" si="13"/>
        <v>0.12649124052758631</v>
      </c>
      <c r="AE31" s="41">
        <f t="shared" si="14"/>
        <v>0</v>
      </c>
      <c r="AF31" s="41">
        <f t="shared" si="15"/>
        <v>-2.756571076524899</v>
      </c>
      <c r="AG31" s="41">
        <f t="shared" si="16"/>
        <v>2.2508759472413682</v>
      </c>
      <c r="CM31" s="41">
        <v>2010</v>
      </c>
      <c r="CN31" s="41" t="s">
        <v>210</v>
      </c>
      <c r="CO31" s="41" t="s">
        <v>43</v>
      </c>
      <c r="CP31" s="41" t="s">
        <v>121</v>
      </c>
      <c r="CQ31" s="41">
        <f t="shared" si="19"/>
        <v>0.23800000000000002</v>
      </c>
      <c r="CR31" s="41">
        <f t="shared" si="18"/>
        <v>0.19399999999999998</v>
      </c>
      <c r="CS31" s="41">
        <f t="shared" si="18"/>
        <v>0.28100000000000003</v>
      </c>
      <c r="CT31" s="41">
        <v>23.8</v>
      </c>
      <c r="CU31" s="48">
        <v>19.399999999999999</v>
      </c>
      <c r="CV31" s="48">
        <v>28.1</v>
      </c>
      <c r="CX31" s="41" t="s">
        <v>276</v>
      </c>
    </row>
    <row r="32" spans="1:102" x14ac:dyDescent="0.2">
      <c r="A32" s="43">
        <v>2004</v>
      </c>
      <c r="B32" s="44" t="s">
        <v>351</v>
      </c>
      <c r="C32" s="43" t="s">
        <v>44</v>
      </c>
      <c r="D32" s="43" t="s">
        <v>116</v>
      </c>
      <c r="E32" s="43">
        <v>0.10199999999999999</v>
      </c>
      <c r="F32" s="43">
        <v>0.25</v>
      </c>
      <c r="G32" s="43">
        <v>978.61950444240199</v>
      </c>
      <c r="O32" s="41">
        <f t="shared" si="3"/>
        <v>0</v>
      </c>
      <c r="P32" s="41" t="str">
        <f t="shared" si="4"/>
        <v>Male</v>
      </c>
      <c r="Q32" s="41" t="s">
        <v>116</v>
      </c>
      <c r="R32" s="48">
        <v>10.199999999999999</v>
      </c>
      <c r="S32" s="48">
        <v>8.4</v>
      </c>
      <c r="T32" s="48">
        <v>12</v>
      </c>
      <c r="U32" s="41">
        <f t="shared" si="5"/>
        <v>0.10199999999999999</v>
      </c>
      <c r="V32" s="41">
        <f t="shared" si="6"/>
        <v>8.4000000000000005E-2</v>
      </c>
      <c r="W32" s="41">
        <f t="shared" si="7"/>
        <v>0.12</v>
      </c>
      <c r="X32" s="41">
        <v>377.71012911642998</v>
      </c>
      <c r="Y32" s="41">
        <f t="shared" si="8"/>
        <v>38.526433169875858</v>
      </c>
      <c r="Z32" s="41">
        <f t="shared" si="9"/>
        <v>339.18369594655411</v>
      </c>
      <c r="AA32" s="41">
        <f t="shared" si="10"/>
        <v>0.10199999999999999</v>
      </c>
      <c r="AB32" s="41">
        <f t="shared" si="11"/>
        <v>0.10129755265130819</v>
      </c>
      <c r="AC32" s="41">
        <f t="shared" si="12"/>
        <v>7.357805798276526E-2</v>
      </c>
      <c r="AD32" s="41">
        <f t="shared" si="13"/>
        <v>0.13440932810014039</v>
      </c>
      <c r="AE32" s="41">
        <f t="shared" si="14"/>
        <v>0</v>
      </c>
      <c r="AF32" s="41">
        <f t="shared" si="15"/>
        <v>1.0421942017234744</v>
      </c>
      <c r="AG32" s="41">
        <f t="shared" si="16"/>
        <v>-1.4409328100140395</v>
      </c>
      <c r="CM32" s="41">
        <v>2010</v>
      </c>
      <c r="CN32" s="41" t="s">
        <v>210</v>
      </c>
      <c r="CO32" s="41" t="s">
        <v>43</v>
      </c>
      <c r="CP32" s="41" t="s">
        <v>122</v>
      </c>
      <c r="CQ32" s="41">
        <f t="shared" si="19"/>
        <v>0.20399999999999999</v>
      </c>
      <c r="CR32" s="41">
        <f t="shared" si="18"/>
        <v>0.161</v>
      </c>
      <c r="CS32" s="41">
        <f t="shared" si="18"/>
        <v>0.247</v>
      </c>
      <c r="CT32" s="41">
        <v>20.399999999999999</v>
      </c>
      <c r="CU32" s="48">
        <v>16.100000000000001</v>
      </c>
      <c r="CV32" s="48">
        <v>24.7</v>
      </c>
      <c r="CX32" s="41" t="s">
        <v>277</v>
      </c>
    </row>
    <row r="33" spans="1:103" x14ac:dyDescent="0.2">
      <c r="A33" s="43">
        <v>2015.5</v>
      </c>
      <c r="B33" s="43" t="s">
        <v>351</v>
      </c>
      <c r="C33" s="43" t="s">
        <v>43</v>
      </c>
      <c r="D33" s="43" t="s">
        <v>117</v>
      </c>
      <c r="E33" s="43">
        <v>3.3000000000000002E-2</v>
      </c>
      <c r="F33" s="43"/>
      <c r="G33" s="43">
        <v>766.378691702178</v>
      </c>
      <c r="O33" s="41">
        <f t="shared" si="3"/>
        <v>0</v>
      </c>
      <c r="P33" s="41" t="str">
        <f t="shared" si="4"/>
        <v>Female</v>
      </c>
      <c r="Q33" s="41" t="s">
        <v>116</v>
      </c>
      <c r="R33" s="41">
        <v>3.3</v>
      </c>
      <c r="S33" s="48">
        <v>2.1</v>
      </c>
      <c r="T33" s="48">
        <v>4.5999999999999996</v>
      </c>
      <c r="U33" s="41">
        <f t="shared" si="5"/>
        <v>3.3000000000000002E-2</v>
      </c>
      <c r="V33" s="41">
        <f t="shared" si="6"/>
        <v>2.1000000000000001E-2</v>
      </c>
      <c r="W33" s="41">
        <f t="shared" si="7"/>
        <v>4.5999999999999999E-2</v>
      </c>
      <c r="X33" s="41">
        <v>377.71012911642998</v>
      </c>
      <c r="Y33" s="41">
        <f t="shared" si="8"/>
        <v>12.464434260842189</v>
      </c>
      <c r="Z33" s="41">
        <f t="shared" si="9"/>
        <v>365.24569485558777</v>
      </c>
      <c r="AA33" s="41">
        <f t="shared" si="10"/>
        <v>3.3000000000000002E-2</v>
      </c>
      <c r="AB33" s="41">
        <f t="shared" si="11"/>
        <v>3.2178525587040055E-2</v>
      </c>
      <c r="AC33" s="41">
        <f t="shared" si="12"/>
        <v>1.7460462242151583E-2</v>
      </c>
      <c r="AD33" s="41">
        <f t="shared" si="13"/>
        <v>5.3199230030869127E-2</v>
      </c>
      <c r="AE33" s="41">
        <f t="shared" si="14"/>
        <v>0</v>
      </c>
      <c r="AF33" s="41">
        <f t="shared" si="15"/>
        <v>0.35395377578484183</v>
      </c>
      <c r="AG33" s="41">
        <f t="shared" si="16"/>
        <v>-0.71992300308691282</v>
      </c>
      <c r="CM33" s="41">
        <v>2010</v>
      </c>
      <c r="CN33" s="41" t="s">
        <v>210</v>
      </c>
      <c r="CO33" s="41" t="s">
        <v>43</v>
      </c>
      <c r="CP33" s="41" t="s">
        <v>123</v>
      </c>
      <c r="CQ33" s="41">
        <f t="shared" si="19"/>
        <v>0.161</v>
      </c>
      <c r="CR33" s="41">
        <f t="shared" si="18"/>
        <v>0.122</v>
      </c>
      <c r="CS33" s="41">
        <f t="shared" si="18"/>
        <v>0.19899999999999998</v>
      </c>
      <c r="CT33" s="41">
        <v>16.100000000000001</v>
      </c>
      <c r="CU33" s="48">
        <v>12.2</v>
      </c>
      <c r="CV33" s="48">
        <v>19.899999999999999</v>
      </c>
      <c r="CX33" s="41" t="s">
        <v>278</v>
      </c>
    </row>
    <row r="34" spans="1:103" x14ac:dyDescent="0.2">
      <c r="A34" s="44">
        <v>2015.5</v>
      </c>
      <c r="B34" s="43" t="s">
        <v>351</v>
      </c>
      <c r="C34" s="44" t="s">
        <v>43</v>
      </c>
      <c r="D34" s="44" t="s">
        <v>118</v>
      </c>
      <c r="E34" s="44">
        <v>6.4000000000000001E-2</v>
      </c>
      <c r="F34" s="44"/>
      <c r="G34" s="44">
        <v>753.03039550781205</v>
      </c>
      <c r="O34" s="41">
        <f t="shared" si="3"/>
        <v>0</v>
      </c>
      <c r="P34" s="41" t="str">
        <f t="shared" si="4"/>
        <v>Female</v>
      </c>
      <c r="Q34" s="41" t="s">
        <v>116</v>
      </c>
      <c r="R34" s="41">
        <v>6.4</v>
      </c>
      <c r="S34" s="48">
        <v>4.7</v>
      </c>
      <c r="T34" s="48">
        <v>8.1</v>
      </c>
      <c r="U34" s="41">
        <f t="shared" si="5"/>
        <v>6.4000000000000001E-2</v>
      </c>
      <c r="V34" s="41">
        <f t="shared" si="6"/>
        <v>4.7E-2</v>
      </c>
      <c r="W34" s="41">
        <f t="shared" si="7"/>
        <v>8.1000000000000003E-2</v>
      </c>
      <c r="X34" s="41">
        <v>377.71012911642998</v>
      </c>
      <c r="Y34" s="41">
        <f t="shared" si="8"/>
        <v>24.173448263451519</v>
      </c>
      <c r="Z34" s="41">
        <f t="shared" si="9"/>
        <v>353.53668085297846</v>
      </c>
      <c r="AA34" s="41">
        <f t="shared" si="10"/>
        <v>6.4000000000000001E-2</v>
      </c>
      <c r="AB34" s="41">
        <f t="shared" si="11"/>
        <v>6.3231202098263134E-2</v>
      </c>
      <c r="AC34" s="41">
        <f t="shared" si="12"/>
        <v>4.1616872990962527E-2</v>
      </c>
      <c r="AD34" s="41">
        <f t="shared" si="13"/>
        <v>9.0746275632990869E-2</v>
      </c>
      <c r="AE34" s="41">
        <f t="shared" si="14"/>
        <v>0</v>
      </c>
      <c r="AF34" s="41">
        <f t="shared" si="15"/>
        <v>0.53831270090374739</v>
      </c>
      <c r="AG34" s="41">
        <f t="shared" si="16"/>
        <v>-0.97462756329908662</v>
      </c>
      <c r="CM34" s="41">
        <v>2010</v>
      </c>
      <c r="CN34" s="41" t="s">
        <v>210</v>
      </c>
      <c r="CO34" s="41" t="s">
        <v>43</v>
      </c>
      <c r="CP34" s="41" t="s">
        <v>116</v>
      </c>
      <c r="CQ34" s="41">
        <f t="shared" si="19"/>
        <v>0.129</v>
      </c>
      <c r="CR34" s="41">
        <f t="shared" si="18"/>
        <v>0.11599999999999999</v>
      </c>
      <c r="CS34" s="41">
        <f t="shared" si="18"/>
        <v>0.14199999999999999</v>
      </c>
      <c r="CT34" s="41">
        <v>12.9</v>
      </c>
      <c r="CU34" s="48">
        <v>11.6</v>
      </c>
      <c r="CV34" s="48">
        <v>14.2</v>
      </c>
      <c r="CX34" s="41" t="s">
        <v>279</v>
      </c>
    </row>
    <row r="35" spans="1:103" x14ac:dyDescent="0.2">
      <c r="A35" s="43">
        <v>2015.5</v>
      </c>
      <c r="B35" s="43" t="s">
        <v>351</v>
      </c>
      <c r="C35" s="43" t="s">
        <v>43</v>
      </c>
      <c r="D35" s="43" t="s">
        <v>119</v>
      </c>
      <c r="E35" s="43">
        <v>9.1999999999999998E-2</v>
      </c>
      <c r="F35" s="43"/>
      <c r="G35" s="43">
        <v>732.74774966032601</v>
      </c>
      <c r="I35" s="41" t="s">
        <v>285</v>
      </c>
      <c r="O35" s="41">
        <f t="shared" si="3"/>
        <v>0</v>
      </c>
      <c r="P35" s="41" t="str">
        <f t="shared" si="4"/>
        <v>Female</v>
      </c>
      <c r="Q35" s="41" t="s">
        <v>116</v>
      </c>
      <c r="R35" s="41">
        <v>9.1999999999999993</v>
      </c>
      <c r="S35" s="48">
        <v>7.2</v>
      </c>
      <c r="T35" s="48">
        <v>11.2</v>
      </c>
      <c r="U35" s="41">
        <f t="shared" si="5"/>
        <v>9.1999999999999998E-2</v>
      </c>
      <c r="V35" s="41">
        <f t="shared" si="6"/>
        <v>7.2000000000000008E-2</v>
      </c>
      <c r="W35" s="41">
        <f t="shared" si="7"/>
        <v>0.11199999999999999</v>
      </c>
      <c r="X35" s="41">
        <v>377.71012911642998</v>
      </c>
      <c r="Y35" s="41">
        <f t="shared" si="8"/>
        <v>34.749331878711558</v>
      </c>
      <c r="Z35" s="41">
        <f t="shared" si="9"/>
        <v>342.96079723771845</v>
      </c>
      <c r="AA35" s="41">
        <f t="shared" si="10"/>
        <v>9.1999999999999985E-2</v>
      </c>
      <c r="AB35" s="41">
        <f t="shared" si="11"/>
        <v>9.1280025086110467E-2</v>
      </c>
      <c r="AC35" s="41">
        <f t="shared" si="12"/>
        <v>6.5003783064775764E-2</v>
      </c>
      <c r="AD35" s="41">
        <f t="shared" si="13"/>
        <v>0.12308294879336679</v>
      </c>
      <c r="AE35" s="41">
        <f t="shared" si="14"/>
        <v>1.3877787807814457E-15</v>
      </c>
      <c r="AF35" s="41">
        <f t="shared" si="15"/>
        <v>0.69962169352242443</v>
      </c>
      <c r="AG35" s="41">
        <f t="shared" si="16"/>
        <v>-1.1082948793366798</v>
      </c>
      <c r="CO35" s="41" t="s">
        <v>211</v>
      </c>
      <c r="CU35" s="48"/>
      <c r="CV35" s="48"/>
    </row>
    <row r="36" spans="1:103" x14ac:dyDescent="0.2">
      <c r="A36" s="44">
        <v>2015.5</v>
      </c>
      <c r="B36" s="43" t="s">
        <v>351</v>
      </c>
      <c r="C36" s="44" t="s">
        <v>43</v>
      </c>
      <c r="D36" s="44" t="s">
        <v>120</v>
      </c>
      <c r="E36" s="44">
        <v>0.16200000000000001</v>
      </c>
      <c r="F36" s="44"/>
      <c r="G36" s="44">
        <v>415.74676890432102</v>
      </c>
      <c r="O36" s="41">
        <f t="shared" si="3"/>
        <v>0</v>
      </c>
      <c r="P36" s="41" t="str">
        <f t="shared" si="4"/>
        <v>Female</v>
      </c>
      <c r="Q36" s="41" t="s">
        <v>116</v>
      </c>
      <c r="R36" s="41">
        <v>16.2</v>
      </c>
      <c r="S36" s="48">
        <v>12.9</v>
      </c>
      <c r="T36" s="48">
        <v>19.399999999999999</v>
      </c>
      <c r="U36" s="41">
        <f t="shared" si="5"/>
        <v>0.16200000000000001</v>
      </c>
      <c r="V36" s="41">
        <f t="shared" si="6"/>
        <v>0.129</v>
      </c>
      <c r="W36" s="41">
        <f t="shared" si="7"/>
        <v>0.19399999999999998</v>
      </c>
      <c r="X36" s="41">
        <v>377.71012911642998</v>
      </c>
      <c r="Y36" s="41">
        <f t="shared" si="8"/>
        <v>61.189040916861657</v>
      </c>
      <c r="Z36" s="41">
        <f t="shared" si="9"/>
        <v>316.52108819956834</v>
      </c>
      <c r="AA36" s="41">
        <f t="shared" si="10"/>
        <v>0.16200000000000001</v>
      </c>
      <c r="AB36" s="41">
        <f t="shared" si="11"/>
        <v>0.16140311036201516</v>
      </c>
      <c r="AC36" s="41">
        <f t="shared" si="12"/>
        <v>0.12663534650367625</v>
      </c>
      <c r="AD36" s="41">
        <f t="shared" si="13"/>
        <v>0.2007532615184956</v>
      </c>
      <c r="AE36" s="41">
        <f t="shared" si="14"/>
        <v>0</v>
      </c>
      <c r="AF36" s="41">
        <f t="shared" si="15"/>
        <v>0.23646534963237542</v>
      </c>
      <c r="AG36" s="41">
        <f t="shared" si="16"/>
        <v>-0.6753261518495618</v>
      </c>
      <c r="CM36" s="41">
        <v>2004</v>
      </c>
      <c r="CN36" s="41" t="s">
        <v>210</v>
      </c>
      <c r="CO36" s="41" t="s">
        <v>43</v>
      </c>
      <c r="CP36" s="41" t="s">
        <v>117</v>
      </c>
      <c r="CQ36" s="41">
        <f t="shared" ref="CQ36:CQ43" si="20">CT36/100</f>
        <v>3.7000000000000005E-2</v>
      </c>
      <c r="CR36" s="41">
        <f t="shared" si="18"/>
        <v>1.9E-2</v>
      </c>
      <c r="CS36" s="41">
        <f t="shared" si="18"/>
        <v>5.5E-2</v>
      </c>
      <c r="CT36" s="41">
        <v>3.7</v>
      </c>
      <c r="CU36" s="48">
        <v>1.9</v>
      </c>
      <c r="CV36" s="48">
        <v>5.5</v>
      </c>
      <c r="CX36" s="41" t="s">
        <v>272</v>
      </c>
    </row>
    <row r="37" spans="1:103" x14ac:dyDescent="0.2">
      <c r="A37" s="43">
        <v>2015.5</v>
      </c>
      <c r="B37" s="43" t="s">
        <v>351</v>
      </c>
      <c r="C37" s="43" t="s">
        <v>43</v>
      </c>
      <c r="D37" s="43" t="s">
        <v>121</v>
      </c>
      <c r="E37" s="43">
        <v>0.18100000000000002</v>
      </c>
      <c r="F37" s="43"/>
      <c r="G37" s="43">
        <v>485.84820657803903</v>
      </c>
      <c r="O37" s="41">
        <f t="shared" si="3"/>
        <v>0</v>
      </c>
      <c r="P37" s="41" t="str">
        <f t="shared" si="4"/>
        <v>Female</v>
      </c>
      <c r="Q37" s="41" t="s">
        <v>116</v>
      </c>
      <c r="R37" s="41">
        <v>18.100000000000001</v>
      </c>
      <c r="S37" s="48">
        <v>15</v>
      </c>
      <c r="T37" s="48">
        <v>21.2</v>
      </c>
      <c r="U37" s="41">
        <f t="shared" si="5"/>
        <v>0.18100000000000002</v>
      </c>
      <c r="V37" s="41">
        <f t="shared" si="6"/>
        <v>0.15</v>
      </c>
      <c r="W37" s="41">
        <f t="shared" si="7"/>
        <v>0.21199999999999999</v>
      </c>
      <c r="X37" s="41">
        <v>377.71012911642998</v>
      </c>
      <c r="Y37" s="41">
        <f t="shared" si="8"/>
        <v>68.365533370073834</v>
      </c>
      <c r="Z37" s="41">
        <f t="shared" si="9"/>
        <v>309.34459574635616</v>
      </c>
      <c r="AA37" s="41">
        <f t="shared" si="10"/>
        <v>0.18100000000000002</v>
      </c>
      <c r="AB37" s="41">
        <f t="shared" si="11"/>
        <v>0.18043660769034628</v>
      </c>
      <c r="AC37" s="41">
        <f t="shared" si="12"/>
        <v>0.14386840216555113</v>
      </c>
      <c r="AD37" s="41">
        <f t="shared" si="13"/>
        <v>0.22133010544831289</v>
      </c>
      <c r="AE37" s="41">
        <f t="shared" si="14"/>
        <v>0</v>
      </c>
      <c r="AF37" s="41">
        <f t="shared" si="15"/>
        <v>0.61315978344488598</v>
      </c>
      <c r="AG37" s="41">
        <f t="shared" si="16"/>
        <v>-0.9330105448312892</v>
      </c>
      <c r="CM37" s="41">
        <v>2004</v>
      </c>
      <c r="CN37" s="41" t="s">
        <v>210</v>
      </c>
      <c r="CO37" s="41" t="s">
        <v>43</v>
      </c>
      <c r="CP37" s="41" t="s">
        <v>118</v>
      </c>
      <c r="CQ37" s="41">
        <f t="shared" si="20"/>
        <v>0.13200000000000001</v>
      </c>
      <c r="CR37" s="41">
        <f t="shared" si="18"/>
        <v>0.10099999999999999</v>
      </c>
      <c r="CS37" s="41">
        <f t="shared" si="18"/>
        <v>0.16300000000000001</v>
      </c>
      <c r="CT37" s="41">
        <v>13.2</v>
      </c>
      <c r="CU37" s="48">
        <v>10.1</v>
      </c>
      <c r="CV37" s="48">
        <v>16.3</v>
      </c>
      <c r="CX37" s="41" t="s">
        <v>273</v>
      </c>
    </row>
    <row r="38" spans="1:103" x14ac:dyDescent="0.2">
      <c r="A38" s="44">
        <v>2015.5</v>
      </c>
      <c r="B38" s="43" t="s">
        <v>351</v>
      </c>
      <c r="C38" s="44" t="s">
        <v>43</v>
      </c>
      <c r="D38" s="44" t="s">
        <v>122</v>
      </c>
      <c r="E38" s="44">
        <v>0.19800000000000001</v>
      </c>
      <c r="F38" s="44"/>
      <c r="G38" s="44">
        <v>321.88461766098499</v>
      </c>
      <c r="O38" s="41">
        <f t="shared" si="3"/>
        <v>0</v>
      </c>
      <c r="P38" s="41" t="str">
        <f t="shared" si="4"/>
        <v>Female</v>
      </c>
      <c r="Q38" s="41" t="s">
        <v>116</v>
      </c>
      <c r="R38" s="41">
        <v>19.8</v>
      </c>
      <c r="S38" s="48">
        <v>15.9</v>
      </c>
      <c r="T38" s="48">
        <v>23.7</v>
      </c>
      <c r="U38" s="41">
        <f t="shared" si="5"/>
        <v>0.19800000000000001</v>
      </c>
      <c r="V38" s="41">
        <f t="shared" si="6"/>
        <v>0.159</v>
      </c>
      <c r="W38" s="41">
        <f t="shared" si="7"/>
        <v>0.23699999999999999</v>
      </c>
      <c r="X38" s="41">
        <v>377.71012911642998</v>
      </c>
      <c r="Y38" s="41">
        <f t="shared" si="8"/>
        <v>74.786605565053137</v>
      </c>
      <c r="Z38" s="41">
        <f t="shared" si="9"/>
        <v>302.92352355137689</v>
      </c>
      <c r="AA38" s="41">
        <f t="shared" si="10"/>
        <v>0.19799999999999998</v>
      </c>
      <c r="AB38" s="41">
        <f t="shared" si="11"/>
        <v>0.19746659368710906</v>
      </c>
      <c r="AC38" s="41">
        <f t="shared" si="12"/>
        <v>0.15942374558851244</v>
      </c>
      <c r="AD38" s="41">
        <f t="shared" si="13"/>
        <v>0.23960457085583275</v>
      </c>
      <c r="AE38" s="41">
        <f t="shared" si="14"/>
        <v>2.7755575615628914E-15</v>
      </c>
      <c r="AF38" s="41">
        <f t="shared" si="15"/>
        <v>-4.2374558851243638E-2</v>
      </c>
      <c r="AG38" s="41">
        <f t="shared" si="16"/>
        <v>-0.26045708558327663</v>
      </c>
      <c r="CM38" s="41">
        <v>2004</v>
      </c>
      <c r="CN38" s="41" t="s">
        <v>210</v>
      </c>
      <c r="CO38" s="41" t="s">
        <v>43</v>
      </c>
      <c r="CP38" s="41" t="s">
        <v>119</v>
      </c>
      <c r="CQ38" s="41">
        <f t="shared" si="20"/>
        <v>0.155</v>
      </c>
      <c r="CR38" s="41">
        <f t="shared" si="18"/>
        <v>0.11900000000000001</v>
      </c>
      <c r="CS38" s="41">
        <f t="shared" si="18"/>
        <v>0.192</v>
      </c>
      <c r="CT38" s="41">
        <v>15.5</v>
      </c>
      <c r="CU38" s="48">
        <v>11.9</v>
      </c>
      <c r="CV38" s="48">
        <v>19.2</v>
      </c>
      <c r="CX38" s="41" t="s">
        <v>274</v>
      </c>
    </row>
    <row r="39" spans="1:103" x14ac:dyDescent="0.2">
      <c r="A39" s="43">
        <v>2015.5</v>
      </c>
      <c r="B39" s="43" t="s">
        <v>351</v>
      </c>
      <c r="C39" s="43" t="s">
        <v>43</v>
      </c>
      <c r="D39" s="43" t="s">
        <v>123</v>
      </c>
      <c r="E39" s="43">
        <v>0.16899999999999998</v>
      </c>
      <c r="F39" s="43"/>
      <c r="G39" s="43">
        <v>273.46899269600601</v>
      </c>
      <c r="O39" s="41">
        <f t="shared" si="3"/>
        <v>0</v>
      </c>
      <c r="P39" s="41" t="str">
        <f t="shared" si="4"/>
        <v>Female</v>
      </c>
      <c r="Q39" s="41" t="s">
        <v>116</v>
      </c>
      <c r="R39" s="41">
        <v>16.899999999999999</v>
      </c>
      <c r="S39" s="48">
        <v>12.9</v>
      </c>
      <c r="T39" s="48">
        <v>21</v>
      </c>
      <c r="U39" s="41">
        <f t="shared" si="5"/>
        <v>0.16899999999999998</v>
      </c>
      <c r="V39" s="41">
        <f t="shared" si="6"/>
        <v>0.129</v>
      </c>
      <c r="W39" s="41">
        <f t="shared" si="7"/>
        <v>0.21</v>
      </c>
      <c r="X39" s="41">
        <v>377.71012911642998</v>
      </c>
      <c r="Y39" s="41">
        <f t="shared" si="8"/>
        <v>63.83301182067666</v>
      </c>
      <c r="Z39" s="41">
        <f t="shared" si="9"/>
        <v>313.87711729575329</v>
      </c>
      <c r="AA39" s="41">
        <f t="shared" si="10"/>
        <v>0.16900000000000001</v>
      </c>
      <c r="AB39" s="41">
        <f t="shared" si="11"/>
        <v>0.16841544911226039</v>
      </c>
      <c r="AC39" s="41">
        <f t="shared" si="12"/>
        <v>0.13296443294916674</v>
      </c>
      <c r="AD39" s="41">
        <f t="shared" si="13"/>
        <v>0.20835415441884553</v>
      </c>
      <c r="AE39" s="41">
        <f t="shared" si="14"/>
        <v>-2.7755575615628914E-15</v>
      </c>
      <c r="AF39" s="41">
        <f t="shared" si="15"/>
        <v>-0.39644329491667352</v>
      </c>
      <c r="AG39" s="41">
        <f t="shared" si="16"/>
        <v>0.16458455811544648</v>
      </c>
      <c r="CM39" s="41">
        <v>2004</v>
      </c>
      <c r="CN39" s="41" t="s">
        <v>210</v>
      </c>
      <c r="CO39" s="41" t="s">
        <v>43</v>
      </c>
      <c r="CP39" s="41" t="s">
        <v>120</v>
      </c>
      <c r="CQ39" s="41">
        <f t="shared" si="20"/>
        <v>0.18100000000000002</v>
      </c>
      <c r="CR39" s="41">
        <f t="shared" si="18"/>
        <v>0.13500000000000001</v>
      </c>
      <c r="CS39" s="41">
        <f t="shared" si="18"/>
        <v>0.22600000000000001</v>
      </c>
      <c r="CT39" s="41">
        <v>18.100000000000001</v>
      </c>
      <c r="CU39" s="48">
        <v>13.5</v>
      </c>
      <c r="CV39" s="48">
        <v>22.6</v>
      </c>
      <c r="CX39" s="41" t="s">
        <v>275</v>
      </c>
    </row>
    <row r="40" spans="1:103" x14ac:dyDescent="0.2">
      <c r="A40" s="44">
        <v>2015.5</v>
      </c>
      <c r="B40" s="43" t="s">
        <v>351</v>
      </c>
      <c r="C40" s="44" t="s">
        <v>43</v>
      </c>
      <c r="D40" s="44" t="s">
        <v>116</v>
      </c>
      <c r="E40" s="44">
        <v>0.10800000000000001</v>
      </c>
      <c r="F40" s="44"/>
      <c r="G40" s="44">
        <v>2509.2339409722199</v>
      </c>
      <c r="O40" s="41">
        <f t="shared" si="3"/>
        <v>0</v>
      </c>
      <c r="P40" s="41" t="str">
        <f t="shared" si="4"/>
        <v>Female</v>
      </c>
      <c r="Q40" s="41" t="s">
        <v>116</v>
      </c>
      <c r="R40" s="41">
        <v>10.8</v>
      </c>
      <c r="S40" s="48">
        <v>9.6</v>
      </c>
      <c r="T40" s="48">
        <v>11.9</v>
      </c>
      <c r="U40" s="41">
        <f t="shared" si="5"/>
        <v>0.10800000000000001</v>
      </c>
      <c r="V40" s="41">
        <f t="shared" si="6"/>
        <v>9.6000000000000002E-2</v>
      </c>
      <c r="W40" s="41">
        <f t="shared" si="7"/>
        <v>0.11900000000000001</v>
      </c>
      <c r="X40" s="41">
        <v>377.71012911642998</v>
      </c>
      <c r="Y40" s="41">
        <f t="shared" si="8"/>
        <v>40.792693944574445</v>
      </c>
      <c r="Z40" s="41">
        <f t="shared" si="9"/>
        <v>336.91743517185557</v>
      </c>
      <c r="AA40" s="41">
        <f t="shared" si="10"/>
        <v>0.108</v>
      </c>
      <c r="AB40" s="41">
        <f t="shared" si="11"/>
        <v>0.10730808269184701</v>
      </c>
      <c r="AC40" s="41">
        <f t="shared" si="12"/>
        <v>7.876729251310266E-2</v>
      </c>
      <c r="AD40" s="41">
        <f t="shared" si="13"/>
        <v>0.14116039307244421</v>
      </c>
      <c r="AE40" s="41">
        <f t="shared" si="14"/>
        <v>1.3877787807814457E-15</v>
      </c>
      <c r="AF40" s="41">
        <f t="shared" si="15"/>
        <v>1.7232707486897341</v>
      </c>
      <c r="AG40" s="41">
        <f t="shared" si="16"/>
        <v>-2.2160393072444204</v>
      </c>
      <c r="CM40" s="41">
        <v>2004</v>
      </c>
      <c r="CN40" s="41" t="s">
        <v>210</v>
      </c>
      <c r="CO40" s="41" t="s">
        <v>43</v>
      </c>
      <c r="CP40" s="41" t="s">
        <v>121</v>
      </c>
      <c r="CQ40" s="41">
        <f t="shared" si="20"/>
        <v>0.17</v>
      </c>
      <c r="CR40" s="41">
        <f t="shared" si="18"/>
        <v>0.121</v>
      </c>
      <c r="CS40" s="41">
        <f t="shared" si="18"/>
        <v>0.21899999999999997</v>
      </c>
      <c r="CT40" s="41">
        <v>17</v>
      </c>
      <c r="CU40" s="48">
        <v>12.1</v>
      </c>
      <c r="CV40" s="48">
        <v>21.9</v>
      </c>
      <c r="CX40" s="41" t="s">
        <v>276</v>
      </c>
    </row>
    <row r="41" spans="1:103" x14ac:dyDescent="0.2">
      <c r="A41" s="44">
        <v>2010</v>
      </c>
      <c r="B41" s="44" t="s">
        <v>351</v>
      </c>
      <c r="C41" s="44" t="s">
        <v>43</v>
      </c>
      <c r="D41" s="44" t="s">
        <v>117</v>
      </c>
      <c r="E41" s="44">
        <v>4.2000000000000003E-2</v>
      </c>
      <c r="F41" s="44"/>
      <c r="G41" s="44">
        <v>835.30970982142799</v>
      </c>
      <c r="O41" s="41">
        <f t="shared" si="3"/>
        <v>0</v>
      </c>
      <c r="P41" s="41" t="str">
        <f t="shared" si="4"/>
        <v>Female</v>
      </c>
      <c r="Q41" s="41" t="s">
        <v>116</v>
      </c>
      <c r="R41" s="41">
        <v>4.2</v>
      </c>
      <c r="S41" s="48">
        <v>2.8</v>
      </c>
      <c r="T41" s="48">
        <v>5.5</v>
      </c>
      <c r="U41" s="41">
        <f t="shared" si="5"/>
        <v>4.2000000000000003E-2</v>
      </c>
      <c r="V41" s="41">
        <f t="shared" si="6"/>
        <v>2.7999999999999997E-2</v>
      </c>
      <c r="W41" s="41">
        <f t="shared" si="7"/>
        <v>5.5E-2</v>
      </c>
      <c r="X41" s="41">
        <v>377.71012911642998</v>
      </c>
      <c r="Y41" s="41">
        <f t="shared" si="8"/>
        <v>15.863825422890061</v>
      </c>
      <c r="Z41" s="41">
        <f t="shared" si="9"/>
        <v>361.84630369353994</v>
      </c>
      <c r="AA41" s="41">
        <f t="shared" si="10"/>
        <v>4.2000000000000003E-2</v>
      </c>
      <c r="AB41" s="41">
        <f t="shared" si="11"/>
        <v>4.119348814612022E-2</v>
      </c>
      <c r="AC41" s="41">
        <f t="shared" si="12"/>
        <v>2.4193136160985E-2</v>
      </c>
      <c r="AD41" s="41">
        <f t="shared" si="13"/>
        <v>6.4382740103035685E-2</v>
      </c>
      <c r="AE41" s="41">
        <f t="shared" si="14"/>
        <v>0</v>
      </c>
      <c r="AF41" s="41">
        <f t="shared" si="15"/>
        <v>0.38068638390149967</v>
      </c>
      <c r="AG41" s="41">
        <f t="shared" si="16"/>
        <v>-0.9382740103035685</v>
      </c>
      <c r="CM41" s="41">
        <v>2004</v>
      </c>
      <c r="CN41" s="41" t="s">
        <v>210</v>
      </c>
      <c r="CO41" s="41" t="s">
        <v>43</v>
      </c>
      <c r="CP41" s="41" t="s">
        <v>122</v>
      </c>
      <c r="CQ41" s="41">
        <f t="shared" si="20"/>
        <v>0.17899999999999999</v>
      </c>
      <c r="CR41" s="41">
        <f t="shared" si="18"/>
        <v>0.12</v>
      </c>
      <c r="CS41" s="41">
        <f t="shared" si="18"/>
        <v>0.23800000000000002</v>
      </c>
      <c r="CT41" s="41">
        <v>17.899999999999999</v>
      </c>
      <c r="CU41" s="48">
        <v>12</v>
      </c>
      <c r="CV41" s="48">
        <v>23.8</v>
      </c>
      <c r="CX41" s="41" t="s">
        <v>277</v>
      </c>
    </row>
    <row r="42" spans="1:103" x14ac:dyDescent="0.2">
      <c r="A42" s="43">
        <v>2010</v>
      </c>
      <c r="B42" s="44" t="s">
        <v>351</v>
      </c>
      <c r="C42" s="43" t="s">
        <v>43</v>
      </c>
      <c r="D42" s="43" t="s">
        <v>118</v>
      </c>
      <c r="E42" s="43">
        <v>6.4000000000000001E-2</v>
      </c>
      <c r="F42" s="43"/>
      <c r="G42" s="43">
        <v>753.03039550781205</v>
      </c>
      <c r="O42" s="41">
        <f t="shared" si="3"/>
        <v>0</v>
      </c>
      <c r="P42" s="41" t="str">
        <f t="shared" si="4"/>
        <v>Female</v>
      </c>
      <c r="Q42" s="41" t="s">
        <v>116</v>
      </c>
      <c r="R42" s="41">
        <v>6.4</v>
      </c>
      <c r="S42" s="48">
        <v>4.7</v>
      </c>
      <c r="T42" s="48">
        <v>8.1</v>
      </c>
      <c r="U42" s="41">
        <f t="shared" si="5"/>
        <v>6.4000000000000001E-2</v>
      </c>
      <c r="V42" s="41">
        <f t="shared" si="6"/>
        <v>4.7E-2</v>
      </c>
      <c r="W42" s="41">
        <f t="shared" si="7"/>
        <v>8.1000000000000003E-2</v>
      </c>
      <c r="X42" s="41">
        <v>377.71012911642998</v>
      </c>
      <c r="Y42" s="41">
        <f t="shared" si="8"/>
        <v>24.173448263451519</v>
      </c>
      <c r="Z42" s="41">
        <f t="shared" si="9"/>
        <v>353.53668085297846</v>
      </c>
      <c r="AA42" s="41">
        <f t="shared" si="10"/>
        <v>6.4000000000000001E-2</v>
      </c>
      <c r="AB42" s="41">
        <f t="shared" si="11"/>
        <v>6.3231202098263134E-2</v>
      </c>
      <c r="AC42" s="41">
        <f t="shared" si="12"/>
        <v>4.1616872990962527E-2</v>
      </c>
      <c r="AD42" s="41">
        <f t="shared" si="13"/>
        <v>9.0746275632990869E-2</v>
      </c>
      <c r="AE42" s="41">
        <f t="shared" si="14"/>
        <v>0</v>
      </c>
      <c r="AF42" s="41">
        <f t="shared" si="15"/>
        <v>0.53831270090374739</v>
      </c>
      <c r="AG42" s="41">
        <f t="shared" si="16"/>
        <v>-0.97462756329908662</v>
      </c>
      <c r="CM42" s="41">
        <v>2004</v>
      </c>
      <c r="CN42" s="41" t="s">
        <v>210</v>
      </c>
      <c r="CO42" s="41" t="s">
        <v>43</v>
      </c>
      <c r="CP42" s="41" t="s">
        <v>123</v>
      </c>
      <c r="CQ42" s="41">
        <f t="shared" si="20"/>
        <v>0.13300000000000001</v>
      </c>
      <c r="CR42" s="41">
        <f t="shared" si="18"/>
        <v>8.199999999999999E-2</v>
      </c>
      <c r="CS42" s="41">
        <f t="shared" si="18"/>
        <v>0.185</v>
      </c>
      <c r="CT42" s="41">
        <v>13.3</v>
      </c>
      <c r="CU42" s="48">
        <v>8.1999999999999993</v>
      </c>
      <c r="CV42" s="48">
        <v>18.5</v>
      </c>
      <c r="CX42" s="41" t="s">
        <v>278</v>
      </c>
    </row>
    <row r="43" spans="1:103" x14ac:dyDescent="0.2">
      <c r="A43" s="44">
        <v>2010</v>
      </c>
      <c r="B43" s="44" t="s">
        <v>351</v>
      </c>
      <c r="C43" s="44" t="s">
        <v>43</v>
      </c>
      <c r="D43" s="44" t="s">
        <v>119</v>
      </c>
      <c r="E43" s="44">
        <v>0.13500000000000001</v>
      </c>
      <c r="F43" s="44"/>
      <c r="G43" s="44">
        <v>596.70545789930497</v>
      </c>
      <c r="O43" s="41">
        <f t="shared" si="3"/>
        <v>0</v>
      </c>
      <c r="P43" s="41" t="str">
        <f t="shared" si="4"/>
        <v>Female</v>
      </c>
      <c r="Q43" s="41" t="s">
        <v>116</v>
      </c>
      <c r="R43" s="41">
        <v>13.5</v>
      </c>
      <c r="S43" s="48">
        <v>11</v>
      </c>
      <c r="T43" s="48">
        <v>16.100000000000001</v>
      </c>
      <c r="U43" s="41">
        <f t="shared" si="5"/>
        <v>0.13500000000000001</v>
      </c>
      <c r="V43" s="41">
        <f t="shared" si="6"/>
        <v>0.11</v>
      </c>
      <c r="W43" s="41">
        <f t="shared" si="7"/>
        <v>0.161</v>
      </c>
      <c r="X43" s="41">
        <v>377.71012911642998</v>
      </c>
      <c r="Y43" s="41">
        <f t="shared" si="8"/>
        <v>50.990867430718048</v>
      </c>
      <c r="Z43" s="41">
        <f t="shared" si="9"/>
        <v>326.71926168571196</v>
      </c>
      <c r="AA43" s="41">
        <f t="shared" si="10"/>
        <v>0.13500000000000001</v>
      </c>
      <c r="AB43" s="41">
        <f t="shared" si="11"/>
        <v>0.1343555529276253</v>
      </c>
      <c r="AC43" s="41">
        <f t="shared" si="12"/>
        <v>0.102467986306645</v>
      </c>
      <c r="AD43" s="41">
        <f t="shared" si="13"/>
        <v>0.17119046094940293</v>
      </c>
      <c r="AE43" s="41">
        <f t="shared" si="14"/>
        <v>0</v>
      </c>
      <c r="AF43" s="41">
        <f t="shared" si="15"/>
        <v>0.75320136933550019</v>
      </c>
      <c r="AG43" s="41">
        <f t="shared" si="16"/>
        <v>-1.0190460949402929</v>
      </c>
      <c r="CM43" s="41">
        <v>2004</v>
      </c>
      <c r="CN43" s="41" t="s">
        <v>210</v>
      </c>
      <c r="CO43" s="41" t="s">
        <v>43</v>
      </c>
      <c r="CP43" s="41" t="s">
        <v>116</v>
      </c>
      <c r="CQ43" s="41">
        <f t="shared" si="20"/>
        <v>0.13300000000000001</v>
      </c>
      <c r="CR43" s="41">
        <f t="shared" si="18"/>
        <v>0.11699999999999999</v>
      </c>
      <c r="CS43" s="41">
        <f t="shared" si="18"/>
        <v>0.14899999999999999</v>
      </c>
      <c r="CT43" s="41">
        <v>13.3</v>
      </c>
      <c r="CU43" s="48">
        <v>11.7</v>
      </c>
      <c r="CV43" s="48">
        <v>14.9</v>
      </c>
      <c r="CX43" s="41" t="s">
        <v>279</v>
      </c>
    </row>
    <row r="44" spans="1:103" x14ac:dyDescent="0.2">
      <c r="A44" s="43">
        <v>2010</v>
      </c>
      <c r="B44" s="44" t="s">
        <v>351</v>
      </c>
      <c r="C44" s="43" t="s">
        <v>43</v>
      </c>
      <c r="D44" s="43" t="s">
        <v>120</v>
      </c>
      <c r="E44" s="43">
        <v>0.20699999999999999</v>
      </c>
      <c r="F44" s="43"/>
      <c r="G44" s="43">
        <v>396.18574501811599</v>
      </c>
      <c r="O44" s="41">
        <f t="shared" si="3"/>
        <v>0</v>
      </c>
      <c r="P44" s="41" t="str">
        <f t="shared" si="4"/>
        <v>Female</v>
      </c>
      <c r="Q44" s="41" t="s">
        <v>116</v>
      </c>
      <c r="R44" s="41">
        <v>20.7</v>
      </c>
      <c r="S44" s="48">
        <v>17.2</v>
      </c>
      <c r="T44" s="48">
        <v>24.3</v>
      </c>
      <c r="U44" s="41">
        <f t="shared" si="5"/>
        <v>0.20699999999999999</v>
      </c>
      <c r="V44" s="41">
        <f t="shared" si="6"/>
        <v>0.17199999999999999</v>
      </c>
      <c r="W44" s="41">
        <f t="shared" si="7"/>
        <v>0.24299999999999999</v>
      </c>
      <c r="X44" s="41">
        <v>377.71012911642998</v>
      </c>
      <c r="Y44" s="41">
        <f t="shared" si="8"/>
        <v>78.185996727100999</v>
      </c>
      <c r="Z44" s="41">
        <f t="shared" si="9"/>
        <v>299.524132389329</v>
      </c>
      <c r="AA44" s="41">
        <f t="shared" si="10"/>
        <v>0.20699999999999999</v>
      </c>
      <c r="AB44" s="41">
        <f t="shared" si="11"/>
        <v>0.20648247300425973</v>
      </c>
      <c r="AC44" s="41">
        <f t="shared" si="12"/>
        <v>0.16770637734002308</v>
      </c>
      <c r="AD44" s="41">
        <f t="shared" si="13"/>
        <v>0.24923180772604192</v>
      </c>
      <c r="AE44" s="41">
        <f t="shared" si="14"/>
        <v>0</v>
      </c>
      <c r="AF44" s="41">
        <f t="shared" si="15"/>
        <v>0.42936226599769034</v>
      </c>
      <c r="AG44" s="41">
        <f t="shared" si="16"/>
        <v>-0.62318077260419269</v>
      </c>
    </row>
    <row r="45" spans="1:103" x14ac:dyDescent="0.2">
      <c r="A45" s="44">
        <v>2010</v>
      </c>
      <c r="B45" s="44" t="s">
        <v>351</v>
      </c>
      <c r="C45" s="44" t="s">
        <v>43</v>
      </c>
      <c r="D45" s="44" t="s">
        <v>121</v>
      </c>
      <c r="E45" s="44">
        <v>0.23800000000000002</v>
      </c>
      <c r="F45" s="44"/>
      <c r="G45" s="44">
        <v>280.73330406381302</v>
      </c>
      <c r="O45" s="41">
        <f t="shared" si="3"/>
        <v>0</v>
      </c>
      <c r="P45" s="41" t="str">
        <f t="shared" si="4"/>
        <v>Female</v>
      </c>
      <c r="Q45" s="41" t="s">
        <v>116</v>
      </c>
      <c r="R45" s="41">
        <v>23.8</v>
      </c>
      <c r="S45" s="48">
        <v>19.399999999999999</v>
      </c>
      <c r="T45" s="48">
        <v>28.1</v>
      </c>
      <c r="U45" s="41">
        <f t="shared" si="5"/>
        <v>0.23800000000000002</v>
      </c>
      <c r="V45" s="41">
        <f t="shared" si="6"/>
        <v>0.19399999999999998</v>
      </c>
      <c r="W45" s="41">
        <f t="shared" si="7"/>
        <v>0.28100000000000003</v>
      </c>
      <c r="X45" s="41">
        <v>377.71012911642998</v>
      </c>
      <c r="Y45" s="41">
        <f t="shared" si="8"/>
        <v>89.895010729710336</v>
      </c>
      <c r="Z45" s="41">
        <f t="shared" si="9"/>
        <v>287.81511838671963</v>
      </c>
      <c r="AA45" s="41">
        <f t="shared" si="10"/>
        <v>0.23799999999999999</v>
      </c>
      <c r="AB45" s="41">
        <f t="shared" si="11"/>
        <v>0.23753718594534337</v>
      </c>
      <c r="AC45" s="41">
        <f t="shared" si="12"/>
        <v>0.19646238284642456</v>
      </c>
      <c r="AD45" s="41">
        <f t="shared" si="13"/>
        <v>0.28216522897682783</v>
      </c>
      <c r="AE45" s="41">
        <f t="shared" si="14"/>
        <v>2.7755575615628914E-15</v>
      </c>
      <c r="AF45" s="41">
        <f t="shared" si="15"/>
        <v>-0.24623828464245823</v>
      </c>
      <c r="AG45" s="41">
        <f t="shared" si="16"/>
        <v>-0.11652289768278035</v>
      </c>
      <c r="CQ45" s="48" t="s">
        <v>283</v>
      </c>
    </row>
    <row r="46" spans="1:103" x14ac:dyDescent="0.2">
      <c r="A46" s="43">
        <v>2010</v>
      </c>
      <c r="B46" s="44" t="s">
        <v>351</v>
      </c>
      <c r="C46" s="43" t="s">
        <v>43</v>
      </c>
      <c r="D46" s="43" t="s">
        <v>122</v>
      </c>
      <c r="E46" s="43">
        <v>0.20399999999999999</v>
      </c>
      <c r="F46" s="43"/>
      <c r="G46" s="43">
        <v>268.640854779412</v>
      </c>
      <c r="O46" s="41">
        <f t="shared" si="3"/>
        <v>0</v>
      </c>
      <c r="P46" s="41" t="str">
        <f t="shared" si="4"/>
        <v>Female</v>
      </c>
      <c r="Q46" s="41" t="s">
        <v>116</v>
      </c>
      <c r="R46" s="41">
        <v>20.399999999999999</v>
      </c>
      <c r="S46" s="48">
        <v>16.100000000000001</v>
      </c>
      <c r="T46" s="48">
        <v>24.7</v>
      </c>
      <c r="U46" s="41">
        <f t="shared" si="5"/>
        <v>0.20399999999999999</v>
      </c>
      <c r="V46" s="41">
        <f t="shared" si="6"/>
        <v>0.161</v>
      </c>
      <c r="W46" s="41">
        <f t="shared" si="7"/>
        <v>0.247</v>
      </c>
      <c r="X46" s="41">
        <v>377.71012911642998</v>
      </c>
      <c r="Y46" s="41">
        <f t="shared" si="8"/>
        <v>77.052866339751716</v>
      </c>
      <c r="Z46" s="41">
        <f t="shared" si="9"/>
        <v>300.65726277667829</v>
      </c>
      <c r="AA46" s="41">
        <f t="shared" si="10"/>
        <v>0.20399999999999996</v>
      </c>
      <c r="AB46" s="41">
        <f t="shared" si="11"/>
        <v>0.20347717960062611</v>
      </c>
      <c r="AC46" s="41">
        <f t="shared" si="12"/>
        <v>0.16494200888108745</v>
      </c>
      <c r="AD46" s="41">
        <f t="shared" si="13"/>
        <v>0.24602622203098967</v>
      </c>
      <c r="AE46" s="41">
        <f t="shared" si="14"/>
        <v>2.7755575615628914E-15</v>
      </c>
      <c r="AF46" s="41">
        <f t="shared" si="15"/>
        <v>-0.39420088810874498</v>
      </c>
      <c r="AG46" s="41">
        <f t="shared" si="16"/>
        <v>9.7377796901032543E-2</v>
      </c>
    </row>
    <row r="47" spans="1:103" x14ac:dyDescent="0.2">
      <c r="A47" s="44">
        <v>2010</v>
      </c>
      <c r="B47" s="44" t="s">
        <v>351</v>
      </c>
      <c r="C47" s="44" t="s">
        <v>43</v>
      </c>
      <c r="D47" s="44" t="s">
        <v>123</v>
      </c>
      <c r="E47" s="44">
        <v>0.161</v>
      </c>
      <c r="F47" s="44"/>
      <c r="G47" s="44">
        <v>295.41895137810599</v>
      </c>
      <c r="O47" s="41">
        <f t="shared" si="3"/>
        <v>0</v>
      </c>
      <c r="P47" s="41" t="str">
        <f t="shared" si="4"/>
        <v>Female</v>
      </c>
      <c r="Q47" s="41" t="s">
        <v>116</v>
      </c>
      <c r="R47" s="41">
        <v>16.100000000000001</v>
      </c>
      <c r="S47" s="48">
        <v>12.2</v>
      </c>
      <c r="T47" s="48">
        <v>19.899999999999999</v>
      </c>
      <c r="U47" s="41">
        <f t="shared" si="5"/>
        <v>0.161</v>
      </c>
      <c r="V47" s="41">
        <f t="shared" si="6"/>
        <v>0.122</v>
      </c>
      <c r="W47" s="41">
        <f t="shared" si="7"/>
        <v>0.19899999999999998</v>
      </c>
      <c r="X47" s="41">
        <v>377.71012911642998</v>
      </c>
      <c r="Y47" s="41">
        <f t="shared" si="8"/>
        <v>60.811330787745227</v>
      </c>
      <c r="Z47" s="41">
        <f t="shared" si="9"/>
        <v>316.89879832868473</v>
      </c>
      <c r="AA47" s="41">
        <f t="shared" si="10"/>
        <v>0.161</v>
      </c>
      <c r="AB47" s="41">
        <f t="shared" si="11"/>
        <v>0.160401347937696</v>
      </c>
      <c r="AC47" s="41">
        <f t="shared" si="12"/>
        <v>0.12573318167843242</v>
      </c>
      <c r="AD47" s="41">
        <f t="shared" si="13"/>
        <v>0.19966542754187</v>
      </c>
      <c r="AE47" s="41">
        <f t="shared" si="14"/>
        <v>0</v>
      </c>
      <c r="AF47" s="41">
        <f t="shared" si="15"/>
        <v>-0.37331816784324234</v>
      </c>
      <c r="AG47" s="41">
        <f t="shared" si="16"/>
        <v>-6.6542754187001729E-2</v>
      </c>
      <c r="CM47" s="41">
        <v>2015.5</v>
      </c>
      <c r="CN47" s="41" t="s">
        <v>210</v>
      </c>
      <c r="CO47" s="41" t="s">
        <v>284</v>
      </c>
      <c r="CP47" s="41" t="s">
        <v>117</v>
      </c>
      <c r="CQ47" s="41">
        <f t="shared" ref="CQ47:CQ54" si="21">CT47/100</f>
        <v>0.01</v>
      </c>
      <c r="CR47" s="41">
        <f t="shared" ref="CR47:CS47" si="22">CU47/100</f>
        <v>5.0000000000000001E-3</v>
      </c>
      <c r="CS47" s="41">
        <f t="shared" si="22"/>
        <v>1.4999999999999999E-2</v>
      </c>
      <c r="CT47" s="48">
        <v>1</v>
      </c>
      <c r="CU47" s="48">
        <v>0.5</v>
      </c>
      <c r="CV47" s="48">
        <v>1.5</v>
      </c>
      <c r="CX47" s="48" t="s">
        <v>271</v>
      </c>
      <c r="CY47" s="48" t="s">
        <v>272</v>
      </c>
    </row>
    <row r="48" spans="1:103" x14ac:dyDescent="0.2">
      <c r="A48" s="43">
        <v>2010</v>
      </c>
      <c r="B48" s="44" t="s">
        <v>351</v>
      </c>
      <c r="C48" s="43" t="s">
        <v>43</v>
      </c>
      <c r="D48" s="43" t="s">
        <v>116</v>
      </c>
      <c r="E48" s="43">
        <v>0.129</v>
      </c>
      <c r="F48" s="43"/>
      <c r="G48" s="43">
        <v>2226.3592387354702</v>
      </c>
      <c r="O48" s="41">
        <f t="shared" si="3"/>
        <v>0</v>
      </c>
      <c r="P48" s="41" t="str">
        <f t="shared" si="4"/>
        <v>Female</v>
      </c>
      <c r="Q48" s="41" t="s">
        <v>116</v>
      </c>
      <c r="R48" s="41">
        <v>12.9</v>
      </c>
      <c r="S48" s="48">
        <v>11.6</v>
      </c>
      <c r="T48" s="48">
        <v>14.2</v>
      </c>
      <c r="U48" s="41">
        <f t="shared" si="5"/>
        <v>0.129</v>
      </c>
      <c r="V48" s="41">
        <f t="shared" si="6"/>
        <v>0.11599999999999999</v>
      </c>
      <c r="W48" s="41">
        <f t="shared" si="7"/>
        <v>0.14199999999999999</v>
      </c>
      <c r="X48" s="41">
        <v>377.71012911642998</v>
      </c>
      <c r="Y48" s="41">
        <f t="shared" si="8"/>
        <v>48.724606656019468</v>
      </c>
      <c r="Z48" s="41">
        <f t="shared" si="9"/>
        <v>328.98552246041049</v>
      </c>
      <c r="AA48" s="41">
        <f t="shared" si="10"/>
        <v>0.129</v>
      </c>
      <c r="AB48" s="41">
        <f t="shared" si="11"/>
        <v>0.12834499450068021</v>
      </c>
      <c r="AC48" s="41">
        <f t="shared" si="12"/>
        <v>9.7156515632035839E-2</v>
      </c>
      <c r="AD48" s="41">
        <f t="shared" si="13"/>
        <v>0.16456182773017181</v>
      </c>
      <c r="AE48" s="41">
        <f t="shared" si="14"/>
        <v>0</v>
      </c>
      <c r="AF48" s="41">
        <f t="shared" si="15"/>
        <v>1.8843484367964152</v>
      </c>
      <c r="AG48" s="41">
        <f t="shared" si="16"/>
        <v>-2.2561827730171817</v>
      </c>
      <c r="CM48" s="41">
        <v>2015.5</v>
      </c>
      <c r="CN48" s="41" t="s">
        <v>210</v>
      </c>
      <c r="CO48" s="41" t="s">
        <v>284</v>
      </c>
      <c r="CP48" s="41" t="s">
        <v>118</v>
      </c>
      <c r="CQ48" s="41">
        <f t="shared" si="21"/>
        <v>1.1000000000000001E-2</v>
      </c>
      <c r="CR48" s="41">
        <f t="shared" ref="CR48:CR72" si="23">CU48/100</f>
        <v>3.0000000000000001E-3</v>
      </c>
      <c r="CS48" s="41">
        <f t="shared" ref="CS48:CS72" si="24">CV48/100</f>
        <v>1.9E-2</v>
      </c>
      <c r="CT48" s="48">
        <v>1.1000000000000001</v>
      </c>
      <c r="CU48" s="48">
        <v>0.3</v>
      </c>
      <c r="CV48" s="48">
        <v>1.9</v>
      </c>
      <c r="CX48" s="48" t="s">
        <v>271</v>
      </c>
      <c r="CY48" s="48" t="s">
        <v>273</v>
      </c>
    </row>
    <row r="49" spans="1:103" x14ac:dyDescent="0.2">
      <c r="A49" s="43">
        <v>2004</v>
      </c>
      <c r="B49" s="43" t="s">
        <v>351</v>
      </c>
      <c r="C49" s="43" t="s">
        <v>43</v>
      </c>
      <c r="D49" s="43" t="s">
        <v>117</v>
      </c>
      <c r="E49" s="43">
        <v>3.7000000000000005E-2</v>
      </c>
      <c r="F49" s="43">
        <v>0.25</v>
      </c>
      <c r="G49" s="43">
        <v>422.71679027660502</v>
      </c>
      <c r="O49" s="41">
        <f t="shared" si="3"/>
        <v>0</v>
      </c>
      <c r="P49" s="41" t="str">
        <f t="shared" si="4"/>
        <v>Female</v>
      </c>
      <c r="Q49" s="41" t="s">
        <v>116</v>
      </c>
      <c r="R49" s="41">
        <v>3.7</v>
      </c>
      <c r="S49" s="48">
        <v>1.9</v>
      </c>
      <c r="T49" s="48">
        <v>5.5</v>
      </c>
      <c r="U49" s="41">
        <f t="shared" si="5"/>
        <v>3.7000000000000005E-2</v>
      </c>
      <c r="V49" s="41">
        <f t="shared" si="6"/>
        <v>1.9E-2</v>
      </c>
      <c r="W49" s="41">
        <f t="shared" si="7"/>
        <v>5.5E-2</v>
      </c>
      <c r="X49" s="41">
        <v>377.71012911642998</v>
      </c>
      <c r="Y49" s="41">
        <f t="shared" si="8"/>
        <v>13.975274777307911</v>
      </c>
      <c r="Z49" s="41">
        <f t="shared" si="9"/>
        <v>363.73485433912208</v>
      </c>
      <c r="AA49" s="41">
        <f t="shared" si="10"/>
        <v>3.7000000000000005E-2</v>
      </c>
      <c r="AB49" s="41">
        <f t="shared" si="11"/>
        <v>3.6185117238851081E-2</v>
      </c>
      <c r="AC49" s="41">
        <f t="shared" si="12"/>
        <v>2.0415229820568682E-2</v>
      </c>
      <c r="AD49" s="41">
        <f t="shared" si="13"/>
        <v>5.8207612946639231E-2</v>
      </c>
      <c r="AE49" s="41">
        <f t="shared" si="14"/>
        <v>0</v>
      </c>
      <c r="AF49" s="41">
        <f t="shared" si="15"/>
        <v>-0.14152298205686831</v>
      </c>
      <c r="AG49" s="41">
        <f t="shared" si="16"/>
        <v>-0.32076129466392311</v>
      </c>
      <c r="CM49" s="41">
        <v>2015.5</v>
      </c>
      <c r="CN49" s="41" t="s">
        <v>210</v>
      </c>
      <c r="CO49" s="41" t="s">
        <v>284</v>
      </c>
      <c r="CP49" s="41" t="s">
        <v>119</v>
      </c>
      <c r="CQ49" s="41">
        <f t="shared" si="21"/>
        <v>6.4000000000000001E-2</v>
      </c>
      <c r="CR49" s="41">
        <f t="shared" si="23"/>
        <v>4.2999999999999997E-2</v>
      </c>
      <c r="CS49" s="41">
        <f t="shared" si="24"/>
        <v>8.5999999999999993E-2</v>
      </c>
      <c r="CT49" s="48">
        <v>6.4</v>
      </c>
      <c r="CU49" s="48">
        <v>4.3</v>
      </c>
      <c r="CV49" s="48">
        <v>8.6</v>
      </c>
      <c r="CX49" s="48" t="s">
        <v>271</v>
      </c>
      <c r="CY49" s="48" t="s">
        <v>274</v>
      </c>
    </row>
    <row r="50" spans="1:103" x14ac:dyDescent="0.2">
      <c r="A50" s="44">
        <v>2004</v>
      </c>
      <c r="B50" s="43" t="s">
        <v>351</v>
      </c>
      <c r="C50" s="44" t="s">
        <v>43</v>
      </c>
      <c r="D50" s="44" t="s">
        <v>118</v>
      </c>
      <c r="E50" s="44">
        <v>0.13200000000000001</v>
      </c>
      <c r="F50" s="43">
        <v>0.25</v>
      </c>
      <c r="G50" s="44">
        <v>399.42589962121201</v>
      </c>
      <c r="O50" s="41">
        <f t="shared" si="3"/>
        <v>0</v>
      </c>
      <c r="P50" s="41" t="str">
        <f t="shared" si="4"/>
        <v>Female</v>
      </c>
      <c r="Q50" s="41" t="s">
        <v>116</v>
      </c>
      <c r="R50" s="41">
        <v>13.2</v>
      </c>
      <c r="S50" s="48">
        <v>10.1</v>
      </c>
      <c r="T50" s="48">
        <v>16.3</v>
      </c>
      <c r="U50" s="41">
        <f t="shared" si="5"/>
        <v>0.13200000000000001</v>
      </c>
      <c r="V50" s="41">
        <f t="shared" si="6"/>
        <v>0.10099999999999999</v>
      </c>
      <c r="W50" s="41">
        <f t="shared" si="7"/>
        <v>0.16300000000000001</v>
      </c>
      <c r="X50" s="41">
        <v>377.71012911642998</v>
      </c>
      <c r="Y50" s="41">
        <f t="shared" si="8"/>
        <v>49.857737043368758</v>
      </c>
      <c r="Z50" s="41">
        <f t="shared" si="9"/>
        <v>327.8523920730612</v>
      </c>
      <c r="AA50" s="41">
        <f t="shared" si="10"/>
        <v>0.13200000000000001</v>
      </c>
      <c r="AB50" s="41">
        <f t="shared" si="11"/>
        <v>0.13135027316107634</v>
      </c>
      <c r="AC50" s="41">
        <f t="shared" si="12"/>
        <v>9.9809317836152781E-2</v>
      </c>
      <c r="AD50" s="41">
        <f t="shared" si="13"/>
        <v>0.16787908128434847</v>
      </c>
      <c r="AE50" s="41">
        <f t="shared" si="14"/>
        <v>0</v>
      </c>
      <c r="AF50" s="41">
        <f t="shared" si="15"/>
        <v>0.1190682163847212</v>
      </c>
      <c r="AG50" s="41">
        <f t="shared" si="16"/>
        <v>-0.48790812843484688</v>
      </c>
      <c r="CM50" s="41">
        <v>2015.5</v>
      </c>
      <c r="CN50" s="41" t="s">
        <v>210</v>
      </c>
      <c r="CO50" s="41" t="s">
        <v>284</v>
      </c>
      <c r="CP50" s="41" t="s">
        <v>120</v>
      </c>
      <c r="CQ50" s="41">
        <f t="shared" si="21"/>
        <v>9.1999999999999998E-2</v>
      </c>
      <c r="CR50" s="41">
        <f t="shared" si="23"/>
        <v>6.6000000000000003E-2</v>
      </c>
      <c r="CS50" s="41">
        <f t="shared" si="24"/>
        <v>0.11699999999999999</v>
      </c>
      <c r="CT50" s="48">
        <v>9.1999999999999993</v>
      </c>
      <c r="CU50" s="48">
        <v>6.6</v>
      </c>
      <c r="CV50" s="48">
        <v>11.7</v>
      </c>
      <c r="CX50" s="48" t="s">
        <v>271</v>
      </c>
      <c r="CY50" s="48" t="s">
        <v>275</v>
      </c>
    </row>
    <row r="51" spans="1:103" x14ac:dyDescent="0.2">
      <c r="A51" s="43">
        <v>2004</v>
      </c>
      <c r="B51" s="43" t="s">
        <v>351</v>
      </c>
      <c r="C51" s="43" t="s">
        <v>43</v>
      </c>
      <c r="D51" s="43" t="s">
        <v>119</v>
      </c>
      <c r="E51" s="43">
        <v>0.155</v>
      </c>
      <c r="F51" s="43">
        <v>0.25</v>
      </c>
      <c r="G51" s="43">
        <v>319.43044354838702</v>
      </c>
      <c r="O51" s="41">
        <f t="shared" si="3"/>
        <v>0</v>
      </c>
      <c r="P51" s="41" t="str">
        <f t="shared" si="4"/>
        <v>Female</v>
      </c>
      <c r="Q51" s="41" t="s">
        <v>116</v>
      </c>
      <c r="R51" s="41">
        <v>15.5</v>
      </c>
      <c r="S51" s="48">
        <v>11.9</v>
      </c>
      <c r="T51" s="48">
        <v>19.2</v>
      </c>
      <c r="U51" s="41">
        <f t="shared" si="5"/>
        <v>0.155</v>
      </c>
      <c r="V51" s="41">
        <f t="shared" si="6"/>
        <v>0.11900000000000001</v>
      </c>
      <c r="W51" s="41">
        <f t="shared" si="7"/>
        <v>0.192</v>
      </c>
      <c r="X51" s="41">
        <v>377.71012911642998</v>
      </c>
      <c r="Y51" s="41">
        <f t="shared" si="8"/>
        <v>58.545070013046647</v>
      </c>
      <c r="Z51" s="41">
        <f t="shared" si="9"/>
        <v>319.16505910338333</v>
      </c>
      <c r="AA51" s="41">
        <f t="shared" si="10"/>
        <v>0.155</v>
      </c>
      <c r="AB51" s="41">
        <f t="shared" si="11"/>
        <v>0.15439077484918931</v>
      </c>
      <c r="AC51" s="41">
        <f t="shared" si="12"/>
        <v>0.12033101455541094</v>
      </c>
      <c r="AD51" s="41">
        <f t="shared" si="13"/>
        <v>0.1931275918097799</v>
      </c>
      <c r="AE51" s="41">
        <f t="shared" si="14"/>
        <v>0</v>
      </c>
      <c r="AF51" s="41">
        <f t="shared" si="15"/>
        <v>-0.13310145554109309</v>
      </c>
      <c r="AG51" s="41">
        <f t="shared" si="16"/>
        <v>-0.11275918097798932</v>
      </c>
      <c r="CM51" s="41">
        <v>2015.5</v>
      </c>
      <c r="CN51" s="41" t="s">
        <v>210</v>
      </c>
      <c r="CO51" s="41" t="s">
        <v>284</v>
      </c>
      <c r="CP51" s="41" t="s">
        <v>121</v>
      </c>
      <c r="CQ51" s="41">
        <f t="shared" si="21"/>
        <v>0.11800000000000001</v>
      </c>
      <c r="CR51" s="41">
        <f t="shared" si="23"/>
        <v>8.8000000000000009E-2</v>
      </c>
      <c r="CS51" s="41">
        <f t="shared" si="24"/>
        <v>0.14899999999999999</v>
      </c>
      <c r="CT51" s="48">
        <v>11.8</v>
      </c>
      <c r="CU51" s="48">
        <v>8.8000000000000007</v>
      </c>
      <c r="CV51" s="48">
        <v>14.9</v>
      </c>
      <c r="CX51" s="48" t="s">
        <v>271</v>
      </c>
      <c r="CY51" s="48" t="s">
        <v>276</v>
      </c>
    </row>
    <row r="52" spans="1:103" x14ac:dyDescent="0.2">
      <c r="A52" s="44">
        <v>2004</v>
      </c>
      <c r="B52" s="43" t="s">
        <v>351</v>
      </c>
      <c r="C52" s="44" t="s">
        <v>43</v>
      </c>
      <c r="D52" s="44" t="s">
        <v>120</v>
      </c>
      <c r="E52" s="44">
        <v>0.18100000000000002</v>
      </c>
      <c r="F52" s="43">
        <v>0.25</v>
      </c>
      <c r="G52" s="44">
        <v>226.29832905300401</v>
      </c>
      <c r="O52" s="41">
        <f t="shared" si="3"/>
        <v>0</v>
      </c>
      <c r="P52" s="41" t="str">
        <f t="shared" si="4"/>
        <v>Female</v>
      </c>
      <c r="Q52" s="41" t="s">
        <v>116</v>
      </c>
      <c r="R52" s="41">
        <v>18.100000000000001</v>
      </c>
      <c r="S52" s="48">
        <v>13.5</v>
      </c>
      <c r="T52" s="48">
        <v>22.6</v>
      </c>
      <c r="U52" s="41">
        <f t="shared" si="5"/>
        <v>0.18100000000000002</v>
      </c>
      <c r="V52" s="41">
        <f t="shared" si="6"/>
        <v>0.13500000000000001</v>
      </c>
      <c r="W52" s="41">
        <f t="shared" si="7"/>
        <v>0.22600000000000001</v>
      </c>
      <c r="X52" s="41">
        <v>377.71012911642998</v>
      </c>
      <c r="Y52" s="41">
        <f t="shared" si="8"/>
        <v>68.365533370073834</v>
      </c>
      <c r="Z52" s="41">
        <f t="shared" si="9"/>
        <v>309.34459574635616</v>
      </c>
      <c r="AA52" s="41">
        <f t="shared" si="10"/>
        <v>0.18100000000000002</v>
      </c>
      <c r="AB52" s="41">
        <f t="shared" si="11"/>
        <v>0.18043660769034628</v>
      </c>
      <c r="AC52" s="41">
        <f t="shared" si="12"/>
        <v>0.14386840216555113</v>
      </c>
      <c r="AD52" s="41">
        <f t="shared" si="13"/>
        <v>0.22133010544831289</v>
      </c>
      <c r="AE52" s="41">
        <f t="shared" si="14"/>
        <v>0</v>
      </c>
      <c r="AF52" s="41">
        <f t="shared" si="15"/>
        <v>-0.88684021655511258</v>
      </c>
      <c r="AG52" s="41">
        <f t="shared" si="16"/>
        <v>0.46698945516871204</v>
      </c>
      <c r="CM52" s="41">
        <v>2015.5</v>
      </c>
      <c r="CN52" s="41" t="s">
        <v>210</v>
      </c>
      <c r="CO52" s="41" t="s">
        <v>284</v>
      </c>
      <c r="CP52" s="41" t="s">
        <v>122</v>
      </c>
      <c r="CQ52" s="41">
        <f t="shared" si="21"/>
        <v>0.14000000000000001</v>
      </c>
      <c r="CR52" s="41">
        <f t="shared" si="23"/>
        <v>0.10199999999999999</v>
      </c>
      <c r="CS52" s="41">
        <f t="shared" si="24"/>
        <v>0.17699999999999999</v>
      </c>
      <c r="CT52" s="48">
        <v>14</v>
      </c>
      <c r="CU52" s="48">
        <v>10.199999999999999</v>
      </c>
      <c r="CV52" s="48">
        <v>17.7</v>
      </c>
      <c r="CX52" s="48" t="s">
        <v>271</v>
      </c>
      <c r="CY52" s="48" t="s">
        <v>277</v>
      </c>
    </row>
    <row r="53" spans="1:103" x14ac:dyDescent="0.2">
      <c r="A53" s="43">
        <v>2004</v>
      </c>
      <c r="B53" s="43" t="s">
        <v>351</v>
      </c>
      <c r="C53" s="43" t="s">
        <v>43</v>
      </c>
      <c r="D53" s="43" t="s">
        <v>121</v>
      </c>
      <c r="E53" s="43">
        <v>0.17</v>
      </c>
      <c r="F53" s="43">
        <v>0.25</v>
      </c>
      <c r="G53" s="43">
        <v>188.15415326286799</v>
      </c>
      <c r="O53" s="41">
        <f t="shared" si="3"/>
        <v>0</v>
      </c>
      <c r="P53" s="41" t="str">
        <f t="shared" si="4"/>
        <v>Female</v>
      </c>
      <c r="Q53" s="41" t="s">
        <v>116</v>
      </c>
      <c r="R53" s="41">
        <v>17</v>
      </c>
      <c r="S53" s="48">
        <v>12.1</v>
      </c>
      <c r="T53" s="48">
        <v>21.9</v>
      </c>
      <c r="U53" s="41">
        <f t="shared" si="5"/>
        <v>0.17</v>
      </c>
      <c r="V53" s="41">
        <f t="shared" si="6"/>
        <v>0.121</v>
      </c>
      <c r="W53" s="41">
        <f t="shared" si="7"/>
        <v>0.21899999999999997</v>
      </c>
      <c r="X53" s="41">
        <v>377.71012911642998</v>
      </c>
      <c r="Y53" s="41">
        <f t="shared" si="8"/>
        <v>64.210721949793097</v>
      </c>
      <c r="Z53" s="41">
        <f t="shared" si="9"/>
        <v>313.49940716663684</v>
      </c>
      <c r="AA53" s="41">
        <f t="shared" si="10"/>
        <v>0.17</v>
      </c>
      <c r="AB53" s="41">
        <f t="shared" si="11"/>
        <v>0.16941721203149418</v>
      </c>
      <c r="AC53" s="41">
        <f t="shared" si="12"/>
        <v>0.13387053549975889</v>
      </c>
      <c r="AD53" s="41">
        <f t="shared" si="13"/>
        <v>0.2094380472593278</v>
      </c>
      <c r="AE53" s="41">
        <f t="shared" si="14"/>
        <v>0</v>
      </c>
      <c r="AF53" s="41">
        <f t="shared" si="15"/>
        <v>-1.2870535499758891</v>
      </c>
      <c r="AG53" s="41">
        <f t="shared" si="16"/>
        <v>0.95619527406721749</v>
      </c>
      <c r="CM53" s="41">
        <v>2015.5</v>
      </c>
      <c r="CN53" s="41" t="s">
        <v>210</v>
      </c>
      <c r="CO53" s="41" t="s">
        <v>284</v>
      </c>
      <c r="CP53" s="41" t="s">
        <v>123</v>
      </c>
      <c r="CQ53" s="41">
        <f t="shared" si="21"/>
        <v>0.192</v>
      </c>
      <c r="CR53" s="41">
        <f t="shared" si="23"/>
        <v>0.14400000000000002</v>
      </c>
      <c r="CS53" s="41">
        <f t="shared" si="24"/>
        <v>0.24100000000000002</v>
      </c>
      <c r="CT53" s="48">
        <v>19.2</v>
      </c>
      <c r="CU53" s="48">
        <v>14.4</v>
      </c>
      <c r="CV53" s="48">
        <v>24.1</v>
      </c>
      <c r="CX53" s="48" t="s">
        <v>271</v>
      </c>
      <c r="CY53" s="48" t="s">
        <v>278</v>
      </c>
    </row>
    <row r="54" spans="1:103" x14ac:dyDescent="0.2">
      <c r="A54" s="44">
        <v>2004</v>
      </c>
      <c r="B54" s="43" t="s">
        <v>351</v>
      </c>
      <c r="C54" s="44" t="s">
        <v>43</v>
      </c>
      <c r="D54" s="44" t="s">
        <v>122</v>
      </c>
      <c r="E54" s="44">
        <v>0.17899999999999999</v>
      </c>
      <c r="F54" s="43">
        <v>0.25</v>
      </c>
      <c r="G54" s="44">
        <v>133.7569423228</v>
      </c>
      <c r="I54" s="41" t="s">
        <v>285</v>
      </c>
      <c r="O54" s="41">
        <f t="shared" si="3"/>
        <v>0</v>
      </c>
      <c r="P54" s="41" t="str">
        <f t="shared" si="4"/>
        <v>Female</v>
      </c>
      <c r="Q54" s="41" t="s">
        <v>116</v>
      </c>
      <c r="R54" s="41">
        <v>17.899999999999999</v>
      </c>
      <c r="S54" s="48">
        <v>12</v>
      </c>
      <c r="T54" s="48">
        <v>23.8</v>
      </c>
      <c r="U54" s="41">
        <f t="shared" si="5"/>
        <v>0.17899999999999999</v>
      </c>
      <c r="V54" s="41">
        <f t="shared" si="6"/>
        <v>0.12</v>
      </c>
      <c r="W54" s="41">
        <f t="shared" si="7"/>
        <v>0.23800000000000002</v>
      </c>
      <c r="X54" s="41">
        <v>377.71012911642998</v>
      </c>
      <c r="Y54" s="41">
        <f t="shared" si="8"/>
        <v>67.61011311184096</v>
      </c>
      <c r="Z54" s="41">
        <f t="shared" si="9"/>
        <v>310.10001600458901</v>
      </c>
      <c r="AA54" s="41">
        <f t="shared" si="10"/>
        <v>0.17899999999999999</v>
      </c>
      <c r="AB54" s="41">
        <f t="shared" si="11"/>
        <v>0.17843308075066941</v>
      </c>
      <c r="AC54" s="41">
        <f t="shared" si="12"/>
        <v>0.14204651049954237</v>
      </c>
      <c r="AD54" s="41">
        <f t="shared" si="13"/>
        <v>0.21917201392146901</v>
      </c>
      <c r="AE54" s="41">
        <f t="shared" si="14"/>
        <v>0</v>
      </c>
      <c r="AF54" s="41">
        <f t="shared" si="15"/>
        <v>-2.2046510499542373</v>
      </c>
      <c r="AG54" s="41">
        <f t="shared" si="16"/>
        <v>1.8827986078531005</v>
      </c>
      <c r="CM54" s="41">
        <v>2015.5</v>
      </c>
      <c r="CN54" s="41" t="s">
        <v>210</v>
      </c>
      <c r="CO54" s="41" t="s">
        <v>284</v>
      </c>
      <c r="CP54" s="41" t="s">
        <v>116</v>
      </c>
      <c r="CQ54" s="41">
        <f t="shared" si="21"/>
        <v>6.4000000000000001E-2</v>
      </c>
      <c r="CR54" s="41">
        <f t="shared" si="23"/>
        <v>5.5999999999999994E-2</v>
      </c>
      <c r="CS54" s="41">
        <f t="shared" si="24"/>
        <v>7.2999999999999995E-2</v>
      </c>
      <c r="CT54" s="48">
        <v>6.4</v>
      </c>
      <c r="CU54" s="48">
        <v>5.6</v>
      </c>
      <c r="CV54" s="48">
        <v>7.3</v>
      </c>
      <c r="CX54" s="48" t="s">
        <v>271</v>
      </c>
      <c r="CY54" s="48" t="s">
        <v>279</v>
      </c>
    </row>
    <row r="55" spans="1:103" x14ac:dyDescent="0.2">
      <c r="A55" s="43">
        <v>2004</v>
      </c>
      <c r="B55" s="43" t="s">
        <v>351</v>
      </c>
      <c r="C55" s="43" t="s">
        <v>43</v>
      </c>
      <c r="D55" s="43" t="s">
        <v>123</v>
      </c>
      <c r="E55" s="43">
        <v>0.13300000000000001</v>
      </c>
      <c r="F55" s="43">
        <v>0.25</v>
      </c>
      <c r="G55" s="43">
        <v>146.21935392680899</v>
      </c>
      <c r="O55" s="41">
        <f t="shared" si="3"/>
        <v>0</v>
      </c>
      <c r="P55" s="41" t="str">
        <f t="shared" si="4"/>
        <v>Female</v>
      </c>
      <c r="Q55" s="41" t="s">
        <v>116</v>
      </c>
      <c r="R55" s="41">
        <v>13.3</v>
      </c>
      <c r="S55" s="48">
        <v>8.1999999999999993</v>
      </c>
      <c r="T55" s="48">
        <v>18.5</v>
      </c>
      <c r="U55" s="41">
        <f t="shared" si="5"/>
        <v>0.13300000000000001</v>
      </c>
      <c r="V55" s="41">
        <f t="shared" si="6"/>
        <v>8.199999999999999E-2</v>
      </c>
      <c r="W55" s="41">
        <f t="shared" si="7"/>
        <v>0.185</v>
      </c>
      <c r="X55" s="41">
        <v>377.71012911642998</v>
      </c>
      <c r="Y55" s="41">
        <f t="shared" si="8"/>
        <v>50.235447172485188</v>
      </c>
      <c r="Z55" s="41">
        <f t="shared" si="9"/>
        <v>327.4746819439448</v>
      </c>
      <c r="AA55" s="41">
        <f t="shared" si="10"/>
        <v>0.13300000000000001</v>
      </c>
      <c r="AB55" s="41">
        <f t="shared" si="11"/>
        <v>0.13235203296409118</v>
      </c>
      <c r="AC55" s="41">
        <f t="shared" si="12"/>
        <v>0.10069489721263652</v>
      </c>
      <c r="AD55" s="41">
        <f t="shared" si="13"/>
        <v>0.16898351877426399</v>
      </c>
      <c r="AE55" s="41">
        <f t="shared" si="14"/>
        <v>0</v>
      </c>
      <c r="AF55" s="41">
        <f t="shared" si="15"/>
        <v>-1.8694897212636534</v>
      </c>
      <c r="AG55" s="41">
        <f t="shared" si="16"/>
        <v>1.6016481225736012</v>
      </c>
      <c r="CQ55" s="41" t="s">
        <v>211</v>
      </c>
      <c r="CR55" s="41" t="s">
        <v>211</v>
      </c>
      <c r="CS55" s="41" t="s">
        <v>211</v>
      </c>
      <c r="CU55" s="48"/>
      <c r="CV55" s="48"/>
    </row>
    <row r="56" spans="1:103" x14ac:dyDescent="0.2">
      <c r="A56" s="44">
        <v>2004</v>
      </c>
      <c r="B56" s="43" t="s">
        <v>351</v>
      </c>
      <c r="C56" s="44" t="s">
        <v>43</v>
      </c>
      <c r="D56" s="44" t="s">
        <v>116</v>
      </c>
      <c r="E56" s="44">
        <v>0.13300000000000001</v>
      </c>
      <c r="F56" s="43">
        <v>0.25</v>
      </c>
      <c r="G56" s="44">
        <v>1501.74239309211</v>
      </c>
      <c r="O56" s="41">
        <f t="shared" si="3"/>
        <v>0</v>
      </c>
      <c r="P56" s="41" t="str">
        <f t="shared" si="4"/>
        <v>Female</v>
      </c>
      <c r="Q56" s="41" t="s">
        <v>116</v>
      </c>
      <c r="R56" s="41">
        <v>13.3</v>
      </c>
      <c r="S56" s="48">
        <v>11.7</v>
      </c>
      <c r="T56" s="48">
        <v>14.9</v>
      </c>
      <c r="U56" s="41">
        <f t="shared" si="5"/>
        <v>0.13300000000000001</v>
      </c>
      <c r="V56" s="41">
        <f t="shared" si="6"/>
        <v>0.11699999999999999</v>
      </c>
      <c r="W56" s="41">
        <f t="shared" si="7"/>
        <v>0.14899999999999999</v>
      </c>
      <c r="X56" s="41">
        <v>377.71012911642998</v>
      </c>
      <c r="Y56" s="41">
        <f t="shared" si="8"/>
        <v>50.235447172485188</v>
      </c>
      <c r="Z56" s="41">
        <f t="shared" si="9"/>
        <v>327.4746819439448</v>
      </c>
      <c r="AA56" s="41">
        <f t="shared" si="10"/>
        <v>0.13300000000000001</v>
      </c>
      <c r="AB56" s="41">
        <f t="shared" si="11"/>
        <v>0.13235203296409118</v>
      </c>
      <c r="AC56" s="41">
        <f t="shared" si="12"/>
        <v>0.10069489721263652</v>
      </c>
      <c r="AD56" s="41">
        <f t="shared" si="13"/>
        <v>0.16898351877426399</v>
      </c>
      <c r="AE56" s="41">
        <f t="shared" si="14"/>
        <v>0</v>
      </c>
      <c r="AF56" s="41">
        <f t="shared" si="15"/>
        <v>1.6305102787363468</v>
      </c>
      <c r="AG56" s="41">
        <f t="shared" si="16"/>
        <v>-1.9983518774263991</v>
      </c>
      <c r="CM56" s="41">
        <v>2010</v>
      </c>
      <c r="CN56" s="41" t="s">
        <v>210</v>
      </c>
      <c r="CO56" s="41" t="s">
        <v>284</v>
      </c>
      <c r="CP56" s="41" t="s">
        <v>117</v>
      </c>
      <c r="CQ56" s="41">
        <f t="shared" ref="CQ56:CQ63" si="25">CT56/100</f>
        <v>1.3000000000000001E-2</v>
      </c>
      <c r="CR56" s="41">
        <f t="shared" si="23"/>
        <v>4.0000000000000001E-3</v>
      </c>
      <c r="CS56" s="41">
        <f t="shared" si="24"/>
        <v>2.2000000000000002E-2</v>
      </c>
      <c r="CT56" s="48">
        <v>1.3</v>
      </c>
      <c r="CU56" s="48">
        <v>0.4</v>
      </c>
      <c r="CV56" s="48">
        <v>2.2000000000000002</v>
      </c>
      <c r="CX56" s="48" t="s">
        <v>280</v>
      </c>
      <c r="CY56" s="48" t="s">
        <v>272</v>
      </c>
    </row>
    <row r="57" spans="1:103" x14ac:dyDescent="0.2">
      <c r="A57" s="44">
        <v>2015</v>
      </c>
      <c r="B57" s="44" t="s">
        <v>351</v>
      </c>
      <c r="C57" s="44" t="s">
        <v>44</v>
      </c>
      <c r="D57" s="44" t="s">
        <v>117</v>
      </c>
      <c r="E57" s="44">
        <v>8.8999999999999999E-3</v>
      </c>
      <c r="F57" s="44"/>
      <c r="G57" s="44">
        <v>1421.2208265668901</v>
      </c>
      <c r="O57" s="41">
        <f t="shared" ref="O57:O96" si="26">100*E57-R57</f>
        <v>0</v>
      </c>
      <c r="P57" s="41" t="str">
        <f t="shared" ref="P57:P96" si="27">C57</f>
        <v>Male</v>
      </c>
      <c r="Q57" s="41" t="s">
        <v>116</v>
      </c>
      <c r="R57" s="41">
        <v>0.89</v>
      </c>
      <c r="S57" s="41">
        <v>0.39</v>
      </c>
      <c r="T57" s="41">
        <v>1.39</v>
      </c>
      <c r="U57" s="41">
        <f t="shared" si="5"/>
        <v>8.8999999999999999E-3</v>
      </c>
      <c r="V57" s="41">
        <f t="shared" si="6"/>
        <v>3.9000000000000003E-3</v>
      </c>
      <c r="W57" s="41">
        <f t="shared" si="7"/>
        <v>1.3899999999999999E-2</v>
      </c>
      <c r="X57" s="41">
        <v>377.71012911642998</v>
      </c>
      <c r="Y57" s="41">
        <f t="shared" si="8"/>
        <v>3.3616201491362268</v>
      </c>
      <c r="Z57" s="41">
        <f t="shared" si="9"/>
        <v>374.34850896729375</v>
      </c>
      <c r="AA57" s="41">
        <f t="shared" si="10"/>
        <v>8.8999999999999999E-3</v>
      </c>
      <c r="AB57" s="41">
        <f t="shared" si="11"/>
        <v>8.0488887073423727E-3</v>
      </c>
      <c r="AC57" s="41">
        <f t="shared" si="12"/>
        <v>2.0756658435544788E-3</v>
      </c>
      <c r="AD57" s="41">
        <f t="shared" si="13"/>
        <v>2.0536628726810835E-2</v>
      </c>
      <c r="AE57" s="41">
        <f t="shared" si="14"/>
        <v>0</v>
      </c>
      <c r="AF57" s="41">
        <f t="shared" si="15"/>
        <v>0.18243341564455215</v>
      </c>
      <c r="AG57" s="41">
        <f t="shared" si="16"/>
        <v>-0.66366287268108359</v>
      </c>
      <c r="CM57" s="41">
        <v>2010</v>
      </c>
      <c r="CN57" s="41" t="s">
        <v>210</v>
      </c>
      <c r="CO57" s="41" t="s">
        <v>284</v>
      </c>
      <c r="CP57" s="41" t="s">
        <v>118</v>
      </c>
      <c r="CQ57" s="41">
        <f t="shared" si="25"/>
        <v>2.7999999999999997E-2</v>
      </c>
      <c r="CR57" s="41">
        <f t="shared" si="23"/>
        <v>1.3999999999999999E-2</v>
      </c>
      <c r="CS57" s="41">
        <f t="shared" si="24"/>
        <v>4.2000000000000003E-2</v>
      </c>
      <c r="CT57" s="48">
        <v>2.8</v>
      </c>
      <c r="CU57" s="48">
        <v>1.4</v>
      </c>
      <c r="CV57" s="48">
        <v>4.2</v>
      </c>
      <c r="CX57" s="48" t="s">
        <v>280</v>
      </c>
      <c r="CY57" s="48" t="s">
        <v>273</v>
      </c>
    </row>
    <row r="58" spans="1:103" x14ac:dyDescent="0.2">
      <c r="A58" s="43">
        <v>2015</v>
      </c>
      <c r="B58" s="44" t="s">
        <v>351</v>
      </c>
      <c r="C58" s="43" t="s">
        <v>44</v>
      </c>
      <c r="D58" s="43" t="s">
        <v>118</v>
      </c>
      <c r="E58" s="43">
        <v>2.3099999999999999E-2</v>
      </c>
      <c r="F58" s="43"/>
      <c r="G58" s="43">
        <v>928.19211224972901</v>
      </c>
      <c r="O58" s="41">
        <f t="shared" si="26"/>
        <v>0</v>
      </c>
      <c r="P58" s="41" t="str">
        <f t="shared" si="27"/>
        <v>Male</v>
      </c>
      <c r="Q58" s="41" t="s">
        <v>116</v>
      </c>
      <c r="R58" s="41">
        <v>2.31</v>
      </c>
      <c r="S58" s="41">
        <v>1.34</v>
      </c>
      <c r="T58" s="41">
        <v>3.28</v>
      </c>
      <c r="U58" s="41">
        <f t="shared" si="5"/>
        <v>2.3099999999999999E-2</v>
      </c>
      <c r="V58" s="41">
        <f t="shared" si="6"/>
        <v>1.34E-2</v>
      </c>
      <c r="W58" s="41">
        <f t="shared" si="7"/>
        <v>3.2799999999999996E-2</v>
      </c>
      <c r="X58" s="41">
        <v>377.71012911642998</v>
      </c>
      <c r="Y58" s="41">
        <f t="shared" si="8"/>
        <v>8.7251039825895322</v>
      </c>
      <c r="Z58" s="41">
        <f t="shared" si="9"/>
        <v>368.98502513384045</v>
      </c>
      <c r="AA58" s="41">
        <f t="shared" si="10"/>
        <v>2.3099999999999999E-2</v>
      </c>
      <c r="AB58" s="41">
        <f t="shared" si="11"/>
        <v>2.2262954499857372E-2</v>
      </c>
      <c r="AC58" s="41">
        <f t="shared" si="12"/>
        <v>1.0489570077679802E-2</v>
      </c>
      <c r="AD58" s="41">
        <f t="shared" si="13"/>
        <v>4.0456205888924179E-2</v>
      </c>
      <c r="AE58" s="41">
        <f t="shared" si="14"/>
        <v>0</v>
      </c>
      <c r="AF58" s="41">
        <f t="shared" si="15"/>
        <v>0.29104299223201985</v>
      </c>
      <c r="AG58" s="41">
        <f t="shared" si="16"/>
        <v>-0.76562058889241835</v>
      </c>
      <c r="CM58" s="41">
        <v>2010</v>
      </c>
      <c r="CN58" s="41" t="s">
        <v>210</v>
      </c>
      <c r="CO58" s="41" t="s">
        <v>284</v>
      </c>
      <c r="CP58" s="41" t="s">
        <v>119</v>
      </c>
      <c r="CQ58" s="41">
        <f t="shared" si="25"/>
        <v>6.9000000000000006E-2</v>
      </c>
      <c r="CR58" s="41">
        <f t="shared" si="23"/>
        <v>4.7E-2</v>
      </c>
      <c r="CS58" s="41">
        <f t="shared" si="24"/>
        <v>9.1999999999999998E-2</v>
      </c>
      <c r="CT58" s="48">
        <v>6.9</v>
      </c>
      <c r="CU58" s="48">
        <v>4.7</v>
      </c>
      <c r="CV58" s="48">
        <v>9.1999999999999993</v>
      </c>
      <c r="CX58" s="48" t="s">
        <v>280</v>
      </c>
      <c r="CY58" s="48" t="s">
        <v>274</v>
      </c>
    </row>
    <row r="59" spans="1:103" x14ac:dyDescent="0.2">
      <c r="A59" s="44">
        <v>2015</v>
      </c>
      <c r="B59" s="44" t="s">
        <v>351</v>
      </c>
      <c r="C59" s="44" t="s">
        <v>44</v>
      </c>
      <c r="D59" s="44" t="s">
        <v>119</v>
      </c>
      <c r="E59" s="44">
        <v>4.7199999999999999E-2</v>
      </c>
      <c r="F59" s="44"/>
      <c r="G59" s="44">
        <v>839.78747351694904</v>
      </c>
      <c r="O59" s="41">
        <f t="shared" si="26"/>
        <v>0</v>
      </c>
      <c r="P59" s="41" t="str">
        <f t="shared" si="27"/>
        <v>Male</v>
      </c>
      <c r="Q59" s="41" t="s">
        <v>116</v>
      </c>
      <c r="R59" s="41">
        <v>4.72</v>
      </c>
      <c r="S59" s="41">
        <v>3.31</v>
      </c>
      <c r="T59" s="41">
        <v>6.13</v>
      </c>
      <c r="U59" s="41">
        <f t="shared" si="5"/>
        <v>4.7199999999999999E-2</v>
      </c>
      <c r="V59" s="41">
        <f t="shared" si="6"/>
        <v>3.3099999999999997E-2</v>
      </c>
      <c r="W59" s="41">
        <f t="shared" si="7"/>
        <v>6.13E-2</v>
      </c>
      <c r="X59" s="41">
        <v>377.71012911642998</v>
      </c>
      <c r="Y59" s="41">
        <f t="shared" si="8"/>
        <v>17.827918094295494</v>
      </c>
      <c r="Z59" s="41">
        <f t="shared" si="9"/>
        <v>359.88221102213447</v>
      </c>
      <c r="AA59" s="41">
        <f t="shared" si="10"/>
        <v>4.7199999999999999E-2</v>
      </c>
      <c r="AB59" s="41">
        <f t="shared" si="11"/>
        <v>4.6402301223722381E-2</v>
      </c>
      <c r="AC59" s="41">
        <f t="shared" si="12"/>
        <v>2.8205926122743953E-2</v>
      </c>
      <c r="AD59" s="41">
        <f t="shared" si="13"/>
        <v>7.0720365679347919E-2</v>
      </c>
      <c r="AE59" s="41">
        <f t="shared" si="14"/>
        <v>0</v>
      </c>
      <c r="AF59" s="41">
        <f t="shared" si="15"/>
        <v>0.48940738772560444</v>
      </c>
      <c r="AG59" s="41">
        <f t="shared" si="16"/>
        <v>-0.94203656793479185</v>
      </c>
      <c r="CM59" s="41">
        <v>2010</v>
      </c>
      <c r="CN59" s="41" t="s">
        <v>210</v>
      </c>
      <c r="CO59" s="41" t="s">
        <v>284</v>
      </c>
      <c r="CP59" s="41" t="s">
        <v>120</v>
      </c>
      <c r="CQ59" s="41">
        <f t="shared" si="25"/>
        <v>0.107</v>
      </c>
      <c r="CR59" s="41">
        <f t="shared" si="23"/>
        <v>7.8E-2</v>
      </c>
      <c r="CS59" s="41">
        <f t="shared" si="24"/>
        <v>0.13600000000000001</v>
      </c>
      <c r="CT59" s="48">
        <v>10.7</v>
      </c>
      <c r="CU59" s="48">
        <v>7.8</v>
      </c>
      <c r="CV59" s="48">
        <v>13.6</v>
      </c>
      <c r="CX59" s="48" t="s">
        <v>280</v>
      </c>
      <c r="CY59" s="48" t="s">
        <v>275</v>
      </c>
    </row>
    <row r="60" spans="1:103" x14ac:dyDescent="0.2">
      <c r="A60" s="43">
        <v>2015</v>
      </c>
      <c r="B60" s="44" t="s">
        <v>351</v>
      </c>
      <c r="C60" s="43" t="s">
        <v>44</v>
      </c>
      <c r="D60" s="43" t="s">
        <v>120</v>
      </c>
      <c r="E60" s="43">
        <v>0.1207</v>
      </c>
      <c r="F60" s="43"/>
      <c r="G60" s="43">
        <v>516.67326743087199</v>
      </c>
      <c r="O60" s="41">
        <f t="shared" si="26"/>
        <v>0</v>
      </c>
      <c r="P60" s="41" t="str">
        <f t="shared" si="27"/>
        <v>Male</v>
      </c>
      <c r="Q60" s="41" t="s">
        <v>116</v>
      </c>
      <c r="R60" s="41">
        <v>12.07</v>
      </c>
      <c r="S60" s="41">
        <v>9.43</v>
      </c>
      <c r="T60" s="41">
        <v>14.71</v>
      </c>
      <c r="U60" s="41">
        <f t="shared" si="5"/>
        <v>0.1207</v>
      </c>
      <c r="V60" s="41">
        <f t="shared" si="6"/>
        <v>9.4299999999999995E-2</v>
      </c>
      <c r="W60" s="41">
        <f t="shared" si="7"/>
        <v>0.14710000000000001</v>
      </c>
      <c r="X60" s="41">
        <v>377.71012911642998</v>
      </c>
      <c r="Y60" s="41">
        <f t="shared" si="8"/>
        <v>45.589612584353098</v>
      </c>
      <c r="Z60" s="41">
        <f t="shared" si="9"/>
        <v>332.12051653207686</v>
      </c>
      <c r="AA60" s="41">
        <f t="shared" si="10"/>
        <v>0.1207</v>
      </c>
      <c r="AB60" s="41">
        <f t="shared" si="11"/>
        <v>0.12003039666153882</v>
      </c>
      <c r="AC60" s="41">
        <f t="shared" si="12"/>
        <v>8.9849150527646027E-2</v>
      </c>
      <c r="AD60" s="41">
        <f t="shared" si="13"/>
        <v>0.15535199409026212</v>
      </c>
      <c r="AE60" s="41">
        <f t="shared" si="14"/>
        <v>0</v>
      </c>
      <c r="AF60" s="41">
        <f t="shared" si="15"/>
        <v>0.44508494723539682</v>
      </c>
      <c r="AG60" s="41">
        <f t="shared" si="16"/>
        <v>-0.82519940902621158</v>
      </c>
      <c r="CM60" s="41">
        <v>2010</v>
      </c>
      <c r="CN60" s="41" t="s">
        <v>210</v>
      </c>
      <c r="CO60" s="41" t="s">
        <v>284</v>
      </c>
      <c r="CP60" s="41" t="s">
        <v>121</v>
      </c>
      <c r="CQ60" s="41">
        <f t="shared" si="25"/>
        <v>0.182</v>
      </c>
      <c r="CR60" s="41">
        <f t="shared" si="23"/>
        <v>0.14000000000000001</v>
      </c>
      <c r="CS60" s="41">
        <f t="shared" si="24"/>
        <v>0.223</v>
      </c>
      <c r="CT60" s="48">
        <v>18.2</v>
      </c>
      <c r="CU60" s="48">
        <v>14</v>
      </c>
      <c r="CV60" s="48">
        <v>22.3</v>
      </c>
      <c r="CX60" s="48" t="s">
        <v>280</v>
      </c>
      <c r="CY60" s="48" t="s">
        <v>276</v>
      </c>
    </row>
    <row r="61" spans="1:103" x14ac:dyDescent="0.2">
      <c r="A61" s="44">
        <v>2015</v>
      </c>
      <c r="B61" s="44" t="s">
        <v>351</v>
      </c>
      <c r="C61" s="44" t="s">
        <v>44</v>
      </c>
      <c r="D61" s="44" t="s">
        <v>121</v>
      </c>
      <c r="E61" s="44">
        <v>0.14499999999999999</v>
      </c>
      <c r="F61" s="44"/>
      <c r="G61" s="44">
        <v>427.84550107758599</v>
      </c>
      <c r="O61" s="41">
        <f t="shared" si="26"/>
        <v>0</v>
      </c>
      <c r="P61" s="41" t="str">
        <f t="shared" si="27"/>
        <v>Male</v>
      </c>
      <c r="Q61" s="41" t="s">
        <v>116</v>
      </c>
      <c r="R61" s="41">
        <v>14.5</v>
      </c>
      <c r="S61" s="41">
        <v>11.41</v>
      </c>
      <c r="T61" s="41">
        <v>17.59</v>
      </c>
      <c r="U61" s="41">
        <f t="shared" si="5"/>
        <v>0.14499999999999999</v>
      </c>
      <c r="V61" s="41">
        <f t="shared" si="6"/>
        <v>0.11410000000000001</v>
      </c>
      <c r="W61" s="41">
        <f t="shared" si="7"/>
        <v>0.1759</v>
      </c>
      <c r="X61" s="41">
        <v>377.71012911642998</v>
      </c>
      <c r="Y61" s="41">
        <f t="shared" si="8"/>
        <v>54.76796872188234</v>
      </c>
      <c r="Z61" s="41">
        <f t="shared" si="9"/>
        <v>322.94216039454761</v>
      </c>
      <c r="AA61" s="41">
        <f t="shared" si="10"/>
        <v>0.14499999999999999</v>
      </c>
      <c r="AB61" s="41">
        <f t="shared" si="11"/>
        <v>0.14437315924742633</v>
      </c>
      <c r="AC61" s="41">
        <f t="shared" si="12"/>
        <v>0.11137052318928362</v>
      </c>
      <c r="AD61" s="41">
        <f t="shared" si="13"/>
        <v>0.18218803560428309</v>
      </c>
      <c r="AE61" s="41">
        <f t="shared" si="14"/>
        <v>0</v>
      </c>
      <c r="AF61" s="41">
        <f t="shared" si="15"/>
        <v>0.27294768107163914</v>
      </c>
      <c r="AG61" s="41">
        <f t="shared" si="16"/>
        <v>-0.62880356042830932</v>
      </c>
      <c r="CM61" s="41">
        <v>2010</v>
      </c>
      <c r="CN61" s="41" t="s">
        <v>210</v>
      </c>
      <c r="CO61" s="41" t="s">
        <v>284</v>
      </c>
      <c r="CP61" s="41" t="s">
        <v>122</v>
      </c>
      <c r="CQ61" s="41">
        <f t="shared" si="25"/>
        <v>0.20800000000000002</v>
      </c>
      <c r="CR61" s="41">
        <f t="shared" si="23"/>
        <v>0.156</v>
      </c>
      <c r="CS61" s="41">
        <f t="shared" si="24"/>
        <v>0.25900000000000001</v>
      </c>
      <c r="CT61" s="48">
        <v>20.8</v>
      </c>
      <c r="CU61" s="48">
        <v>15.6</v>
      </c>
      <c r="CV61" s="48">
        <v>25.9</v>
      </c>
      <c r="CX61" s="48" t="s">
        <v>280</v>
      </c>
      <c r="CY61" s="48" t="s">
        <v>277</v>
      </c>
    </row>
    <row r="62" spans="1:103" x14ac:dyDescent="0.2">
      <c r="A62" s="43">
        <v>2015</v>
      </c>
      <c r="B62" s="44" t="s">
        <v>351</v>
      </c>
      <c r="C62" s="43" t="s">
        <v>44</v>
      </c>
      <c r="D62" s="43" t="s">
        <v>122</v>
      </c>
      <c r="E62" s="43">
        <v>0.1862</v>
      </c>
      <c r="F62" s="43"/>
      <c r="G62" s="43">
        <v>393.84207064816098</v>
      </c>
      <c r="O62" s="41">
        <f t="shared" si="26"/>
        <v>0</v>
      </c>
      <c r="P62" s="41" t="str">
        <f t="shared" si="27"/>
        <v>Male</v>
      </c>
      <c r="Q62" s="41" t="s">
        <v>116</v>
      </c>
      <c r="R62" s="41">
        <v>18.62</v>
      </c>
      <c r="S62" s="41">
        <v>15.15</v>
      </c>
      <c r="T62" s="41">
        <v>22.09</v>
      </c>
      <c r="U62" s="41">
        <f t="shared" si="5"/>
        <v>0.1862</v>
      </c>
      <c r="V62" s="41">
        <f t="shared" si="6"/>
        <v>0.1515</v>
      </c>
      <c r="W62" s="41">
        <f t="shared" si="7"/>
        <v>0.22089999999999999</v>
      </c>
      <c r="X62" s="41">
        <v>377.71012911642998</v>
      </c>
      <c r="Y62" s="41">
        <f t="shared" si="8"/>
        <v>70.329626041479258</v>
      </c>
      <c r="Z62" s="41">
        <f t="shared" si="9"/>
        <v>307.3805030749507</v>
      </c>
      <c r="AA62" s="41">
        <f t="shared" si="10"/>
        <v>0.1862</v>
      </c>
      <c r="AB62" s="41">
        <f t="shared" si="11"/>
        <v>0.185645778598512</v>
      </c>
      <c r="AC62" s="41">
        <f t="shared" si="12"/>
        <v>0.14861354608040336</v>
      </c>
      <c r="AD62" s="41">
        <f t="shared" si="13"/>
        <v>0.22693291187338127</v>
      </c>
      <c r="AE62" s="41">
        <f t="shared" si="14"/>
        <v>0</v>
      </c>
      <c r="AF62" s="41">
        <f t="shared" si="15"/>
        <v>0.28864539195966321</v>
      </c>
      <c r="AG62" s="41">
        <f t="shared" si="16"/>
        <v>-0.60329118733812859</v>
      </c>
      <c r="CM62" s="41">
        <v>2010</v>
      </c>
      <c r="CN62" s="41" t="s">
        <v>210</v>
      </c>
      <c r="CO62" s="41" t="s">
        <v>284</v>
      </c>
      <c r="CP62" s="41" t="s">
        <v>123</v>
      </c>
      <c r="CQ62" s="41">
        <f t="shared" si="25"/>
        <v>0.15</v>
      </c>
      <c r="CR62" s="41">
        <f t="shared" si="23"/>
        <v>0.10800000000000001</v>
      </c>
      <c r="CS62" s="41">
        <f t="shared" si="24"/>
        <v>0.192</v>
      </c>
      <c r="CT62" s="48">
        <v>15</v>
      </c>
      <c r="CU62" s="48">
        <v>10.8</v>
      </c>
      <c r="CV62" s="48">
        <v>19.2</v>
      </c>
      <c r="CX62" s="48" t="s">
        <v>280</v>
      </c>
      <c r="CY62" s="48" t="s">
        <v>278</v>
      </c>
    </row>
    <row r="63" spans="1:103" x14ac:dyDescent="0.2">
      <c r="A63" s="44">
        <v>2015</v>
      </c>
      <c r="B63" s="44" t="s">
        <v>351</v>
      </c>
      <c r="C63" s="44" t="s">
        <v>44</v>
      </c>
      <c r="D63" s="44" t="s">
        <v>123</v>
      </c>
      <c r="E63" s="44">
        <v>0.22109999999999999</v>
      </c>
      <c r="F63" s="44"/>
      <c r="G63" s="44">
        <v>269.158419329136</v>
      </c>
      <c r="I63" s="41" t="s">
        <v>302</v>
      </c>
      <c r="O63" s="41">
        <f t="shared" si="26"/>
        <v>0</v>
      </c>
      <c r="P63" s="41" t="str">
        <f t="shared" si="27"/>
        <v>Male</v>
      </c>
      <c r="Q63" s="41" t="s">
        <v>116</v>
      </c>
      <c r="R63" s="41">
        <v>22.11</v>
      </c>
      <c r="S63" s="41">
        <v>17.739999999999998</v>
      </c>
      <c r="T63" s="41">
        <v>26.49</v>
      </c>
      <c r="U63" s="41">
        <f t="shared" si="5"/>
        <v>0.22109999999999999</v>
      </c>
      <c r="V63" s="41">
        <f t="shared" si="6"/>
        <v>0.17739999999999997</v>
      </c>
      <c r="W63" s="41">
        <f t="shared" si="7"/>
        <v>0.26489999999999997</v>
      </c>
      <c r="X63" s="41">
        <v>377.71012911642998</v>
      </c>
      <c r="Y63" s="41">
        <f t="shared" si="8"/>
        <v>83.511709547642667</v>
      </c>
      <c r="Z63" s="41">
        <f t="shared" si="9"/>
        <v>294.1984195687873</v>
      </c>
      <c r="AA63" s="41">
        <f t="shared" si="10"/>
        <v>0.22109999999999999</v>
      </c>
      <c r="AB63" s="41">
        <f t="shared" si="11"/>
        <v>0.22060735556427372</v>
      </c>
      <c r="AC63" s="41">
        <f t="shared" si="12"/>
        <v>0.18074379264334178</v>
      </c>
      <c r="AD63" s="41">
        <f t="shared" si="13"/>
        <v>0.26425315239039149</v>
      </c>
      <c r="AE63" s="41">
        <f t="shared" si="14"/>
        <v>0</v>
      </c>
      <c r="AF63" s="41">
        <f t="shared" si="15"/>
        <v>-0.33437926433418086</v>
      </c>
      <c r="AG63" s="41">
        <f t="shared" si="16"/>
        <v>6.4684760960848076E-2</v>
      </c>
      <c r="CM63" s="41">
        <v>2010</v>
      </c>
      <c r="CN63" s="41" t="s">
        <v>210</v>
      </c>
      <c r="CO63" s="41" t="s">
        <v>284</v>
      </c>
      <c r="CP63" s="41" t="s">
        <v>116</v>
      </c>
      <c r="CQ63" s="41">
        <f t="shared" si="25"/>
        <v>8.1000000000000003E-2</v>
      </c>
      <c r="CR63" s="41">
        <f t="shared" si="23"/>
        <v>7.0999999999999994E-2</v>
      </c>
      <c r="CS63" s="41">
        <f t="shared" si="24"/>
        <v>9.1999999999999998E-2</v>
      </c>
      <c r="CT63" s="48">
        <v>8.1</v>
      </c>
      <c r="CU63" s="48">
        <v>7.1</v>
      </c>
      <c r="CV63" s="48">
        <v>9.1999999999999993</v>
      </c>
      <c r="CX63" s="48" t="s">
        <v>280</v>
      </c>
      <c r="CY63" s="48" t="s">
        <v>279</v>
      </c>
    </row>
    <row r="64" spans="1:103" x14ac:dyDescent="0.2">
      <c r="A64" s="43">
        <v>2015</v>
      </c>
      <c r="B64" s="44" t="s">
        <v>351</v>
      </c>
      <c r="C64" s="43" t="s">
        <v>44</v>
      </c>
      <c r="D64" s="43" t="s">
        <v>124</v>
      </c>
      <c r="E64" s="43">
        <v>0.17489999999999997</v>
      </c>
      <c r="F64" s="43"/>
      <c r="G64" s="43">
        <v>214.109639101808</v>
      </c>
      <c r="O64" s="41">
        <f t="shared" si="26"/>
        <v>0</v>
      </c>
      <c r="P64" s="41" t="str">
        <f t="shared" si="27"/>
        <v>Male</v>
      </c>
      <c r="Q64" s="41" t="s">
        <v>116</v>
      </c>
      <c r="R64" s="41">
        <v>17.489999999999998</v>
      </c>
      <c r="S64" s="41">
        <v>12.86</v>
      </c>
      <c r="T64" s="41">
        <v>22.12</v>
      </c>
      <c r="U64" s="41">
        <f t="shared" si="5"/>
        <v>0.17489999999999997</v>
      </c>
      <c r="V64" s="41">
        <f t="shared" si="6"/>
        <v>0.12859999999999999</v>
      </c>
      <c r="W64" s="41">
        <f t="shared" si="7"/>
        <v>0.22120000000000001</v>
      </c>
      <c r="X64" s="41">
        <v>377.71012911642998</v>
      </c>
      <c r="Y64" s="41">
        <f t="shared" si="8"/>
        <v>66.061501582463592</v>
      </c>
      <c r="Z64" s="41">
        <f t="shared" si="9"/>
        <v>311.64862753396642</v>
      </c>
      <c r="AA64" s="41">
        <f t="shared" si="10"/>
        <v>0.17489999999999994</v>
      </c>
      <c r="AB64" s="41">
        <f t="shared" si="11"/>
        <v>0.17432585114019455</v>
      </c>
      <c r="AC64" s="41">
        <f t="shared" si="12"/>
        <v>0.13831726357213803</v>
      </c>
      <c r="AD64" s="41">
        <f t="shared" si="13"/>
        <v>0.21474229105910991</v>
      </c>
      <c r="AE64" s="41">
        <f t="shared" si="14"/>
        <v>2.7755575615628914E-15</v>
      </c>
      <c r="AF64" s="41">
        <f t="shared" si="15"/>
        <v>-0.97172635721380352</v>
      </c>
      <c r="AG64" s="41">
        <f t="shared" si="16"/>
        <v>0.64577089408900945</v>
      </c>
      <c r="CU64" s="48"/>
      <c r="CV64" s="48"/>
    </row>
    <row r="65" spans="1:104" x14ac:dyDescent="0.2">
      <c r="A65" s="44">
        <v>2015</v>
      </c>
      <c r="B65" s="44" t="s">
        <v>351</v>
      </c>
      <c r="C65" s="44" t="s">
        <v>44</v>
      </c>
      <c r="D65" s="44" t="s">
        <v>127</v>
      </c>
      <c r="E65" s="44">
        <v>0.14529999999999998</v>
      </c>
      <c r="F65" s="44"/>
      <c r="G65" s="44">
        <v>209.60046462330101</v>
      </c>
      <c r="O65" s="41">
        <f t="shared" si="26"/>
        <v>0</v>
      </c>
      <c r="P65" s="41" t="str">
        <f t="shared" si="27"/>
        <v>Male</v>
      </c>
      <c r="Q65" s="41" t="s">
        <v>116</v>
      </c>
      <c r="R65" s="41">
        <v>14.53</v>
      </c>
      <c r="S65" s="41">
        <v>10.11</v>
      </c>
      <c r="T65" s="41">
        <v>18.96</v>
      </c>
      <c r="U65" s="41">
        <f t="shared" si="5"/>
        <v>0.14529999999999998</v>
      </c>
      <c r="V65" s="41">
        <f t="shared" si="6"/>
        <v>0.1011</v>
      </c>
      <c r="W65" s="41">
        <f t="shared" si="7"/>
        <v>0.18960000000000002</v>
      </c>
      <c r="X65" s="41">
        <v>377.71012911642998</v>
      </c>
      <c r="Y65" s="41">
        <f t="shared" si="8"/>
        <v>54.88128176061727</v>
      </c>
      <c r="Z65" s="41">
        <f t="shared" si="9"/>
        <v>322.82884735581268</v>
      </c>
      <c r="AA65" s="41">
        <f t="shared" si="10"/>
        <v>0.14530000000000001</v>
      </c>
      <c r="AB65" s="41">
        <f t="shared" si="11"/>
        <v>0.14467368759011714</v>
      </c>
      <c r="AC65" s="41">
        <f t="shared" si="12"/>
        <v>0.11163851962098845</v>
      </c>
      <c r="AD65" s="41">
        <f t="shared" si="13"/>
        <v>0.18251704146365633</v>
      </c>
      <c r="AE65" s="41">
        <f t="shared" si="14"/>
        <v>-2.7755575615628914E-15</v>
      </c>
      <c r="AF65" s="41">
        <f t="shared" si="15"/>
        <v>-1.0538519620988451</v>
      </c>
      <c r="AG65" s="41">
        <f t="shared" si="16"/>
        <v>0.7082958536343692</v>
      </c>
      <c r="CM65" s="41">
        <v>2004</v>
      </c>
      <c r="CN65" s="41" t="s">
        <v>210</v>
      </c>
      <c r="CO65" s="41" t="s">
        <v>284</v>
      </c>
      <c r="CP65" s="41" t="s">
        <v>117</v>
      </c>
      <c r="CQ65" s="41">
        <f t="shared" ref="CQ65:CQ72" si="28">CT65/100</f>
        <v>4.0000000000000001E-3</v>
      </c>
      <c r="CR65" s="41">
        <f t="shared" si="23"/>
        <v>0</v>
      </c>
      <c r="CS65" s="41">
        <f t="shared" si="24"/>
        <v>0.01</v>
      </c>
      <c r="CT65" s="48">
        <v>0.4</v>
      </c>
      <c r="CU65" s="48">
        <v>0</v>
      </c>
      <c r="CV65" s="48">
        <v>1</v>
      </c>
      <c r="CX65" s="48" t="s">
        <v>281</v>
      </c>
      <c r="CY65" s="48" t="s">
        <v>272</v>
      </c>
    </row>
    <row r="66" spans="1:104" x14ac:dyDescent="0.2">
      <c r="A66" s="43">
        <v>2015</v>
      </c>
      <c r="B66" s="44" t="s">
        <v>351</v>
      </c>
      <c r="C66" s="43" t="s">
        <v>44</v>
      </c>
      <c r="D66" s="43" t="s">
        <v>215</v>
      </c>
      <c r="E66" s="43">
        <v>0.10580000000000001</v>
      </c>
      <c r="F66" s="43"/>
      <c r="G66" s="43">
        <v>180.65300925242201</v>
      </c>
      <c r="O66" s="41">
        <f t="shared" si="26"/>
        <v>0</v>
      </c>
      <c r="P66" s="41" t="str">
        <f t="shared" si="27"/>
        <v>Male</v>
      </c>
      <c r="Q66" s="41" t="s">
        <v>116</v>
      </c>
      <c r="R66" s="41">
        <v>10.58</v>
      </c>
      <c r="S66" s="41">
        <v>6.3</v>
      </c>
      <c r="T66" s="41">
        <v>14.86</v>
      </c>
      <c r="U66" s="41">
        <f t="shared" si="5"/>
        <v>0.10580000000000001</v>
      </c>
      <c r="V66" s="41">
        <f t="shared" si="6"/>
        <v>6.3E-2</v>
      </c>
      <c r="W66" s="41">
        <f t="shared" si="7"/>
        <v>0.14859999999999998</v>
      </c>
      <c r="X66" s="41">
        <v>377.71012911642998</v>
      </c>
      <c r="Y66" s="41">
        <f t="shared" si="8"/>
        <v>39.961731660518296</v>
      </c>
      <c r="Z66" s="41">
        <f t="shared" si="9"/>
        <v>337.74839745591169</v>
      </c>
      <c r="AA66" s="41">
        <f t="shared" si="10"/>
        <v>0.10580000000000001</v>
      </c>
      <c r="AB66" s="41">
        <f t="shared" si="11"/>
        <v>0.10510422065620095</v>
      </c>
      <c r="AC66" s="41">
        <f t="shared" si="12"/>
        <v>7.68609138032436E-2</v>
      </c>
      <c r="AD66" s="41">
        <f t="shared" si="13"/>
        <v>0.13868866899854704</v>
      </c>
      <c r="AE66" s="41">
        <f t="shared" si="14"/>
        <v>0</v>
      </c>
      <c r="AF66" s="41">
        <f t="shared" si="15"/>
        <v>-1.38609138032436</v>
      </c>
      <c r="AG66" s="41">
        <f t="shared" si="16"/>
        <v>0.99113310014529443</v>
      </c>
      <c r="CM66" s="41">
        <v>2004</v>
      </c>
      <c r="CN66" s="41" t="s">
        <v>210</v>
      </c>
      <c r="CO66" s="41" t="s">
        <v>284</v>
      </c>
      <c r="CP66" s="41" t="s">
        <v>118</v>
      </c>
      <c r="CQ66" s="41">
        <f t="shared" si="28"/>
        <v>3.9E-2</v>
      </c>
      <c r="CR66" s="41">
        <f t="shared" si="23"/>
        <v>1.7000000000000001E-2</v>
      </c>
      <c r="CS66" s="41">
        <f t="shared" si="24"/>
        <v>0.06</v>
      </c>
      <c r="CT66" s="48">
        <v>3.9</v>
      </c>
      <c r="CU66" s="48">
        <v>1.7</v>
      </c>
      <c r="CV66" s="48">
        <v>6</v>
      </c>
      <c r="CX66" s="48" t="s">
        <v>281</v>
      </c>
      <c r="CY66" s="48" t="s">
        <v>273</v>
      </c>
    </row>
    <row r="67" spans="1:104" x14ac:dyDescent="0.2">
      <c r="A67" s="44">
        <v>2015</v>
      </c>
      <c r="B67" s="44" t="s">
        <v>351</v>
      </c>
      <c r="C67" s="44" t="s">
        <v>43</v>
      </c>
      <c r="D67" s="44" t="s">
        <v>117</v>
      </c>
      <c r="E67" s="44">
        <v>2.0099999999999996E-2</v>
      </c>
      <c r="F67" s="44"/>
      <c r="G67" s="44">
        <v>1124.7540374300399</v>
      </c>
      <c r="O67" s="41">
        <f t="shared" si="26"/>
        <v>0</v>
      </c>
      <c r="P67" s="41" t="str">
        <f t="shared" si="27"/>
        <v>Female</v>
      </c>
      <c r="Q67" s="41" t="s">
        <v>116</v>
      </c>
      <c r="R67" s="41">
        <v>2.0099999999999998</v>
      </c>
      <c r="S67" s="41">
        <v>1.18</v>
      </c>
      <c r="T67" s="41">
        <v>2.83</v>
      </c>
      <c r="U67" s="41">
        <f t="shared" si="5"/>
        <v>2.0099999999999996E-2</v>
      </c>
      <c r="V67" s="41">
        <f t="shared" si="6"/>
        <v>1.18E-2</v>
      </c>
      <c r="W67" s="41">
        <f t="shared" si="7"/>
        <v>2.8300000000000002E-2</v>
      </c>
      <c r="X67" s="41">
        <v>377.71012911642998</v>
      </c>
      <c r="Y67" s="41">
        <f t="shared" si="8"/>
        <v>7.5919735952402414</v>
      </c>
      <c r="Z67" s="41">
        <f t="shared" si="9"/>
        <v>370.11815552118975</v>
      </c>
      <c r="AA67" s="41">
        <f t="shared" si="10"/>
        <v>2.0099999999999996E-2</v>
      </c>
      <c r="AB67" s="41">
        <f t="shared" si="11"/>
        <v>1.9258628599478755E-2</v>
      </c>
      <c r="AC67" s="41">
        <f t="shared" si="12"/>
        <v>8.5066135260847015E-3</v>
      </c>
      <c r="AD67" s="41">
        <f t="shared" si="13"/>
        <v>3.6462544507321781E-2</v>
      </c>
      <c r="AE67" s="41">
        <f t="shared" si="14"/>
        <v>0</v>
      </c>
      <c r="AF67" s="41">
        <f t="shared" si="15"/>
        <v>0.32933864739152985</v>
      </c>
      <c r="AG67" s="41">
        <f t="shared" si="16"/>
        <v>-0.81625445073217795</v>
      </c>
      <c r="CM67" s="41">
        <v>2004</v>
      </c>
      <c r="CN67" s="41" t="s">
        <v>210</v>
      </c>
      <c r="CO67" s="41" t="s">
        <v>284</v>
      </c>
      <c r="CP67" s="41" t="s">
        <v>119</v>
      </c>
      <c r="CQ67" s="41">
        <f t="shared" si="28"/>
        <v>9.8000000000000004E-2</v>
      </c>
      <c r="CR67" s="41">
        <f t="shared" si="23"/>
        <v>6.5000000000000002E-2</v>
      </c>
      <c r="CS67" s="41">
        <f t="shared" si="24"/>
        <v>0.13100000000000001</v>
      </c>
      <c r="CT67" s="48">
        <v>9.8000000000000007</v>
      </c>
      <c r="CU67" s="48">
        <v>6.5</v>
      </c>
      <c r="CV67" s="48">
        <v>13.1</v>
      </c>
      <c r="CX67" s="48" t="s">
        <v>281</v>
      </c>
      <c r="CY67" s="48" t="s">
        <v>274</v>
      </c>
    </row>
    <row r="68" spans="1:104" x14ac:dyDescent="0.2">
      <c r="A68" s="43">
        <v>2015</v>
      </c>
      <c r="B68" s="44" t="s">
        <v>351</v>
      </c>
      <c r="C68" s="43" t="s">
        <v>43</v>
      </c>
      <c r="D68" s="43" t="s">
        <v>118</v>
      </c>
      <c r="E68" s="43">
        <v>5.1699999999999996E-2</v>
      </c>
      <c r="F68" s="43"/>
      <c r="G68" s="43">
        <v>1219.3907628898701</v>
      </c>
      <c r="O68" s="41">
        <f t="shared" si="26"/>
        <v>0</v>
      </c>
      <c r="P68" s="41" t="str">
        <f t="shared" si="27"/>
        <v>Female</v>
      </c>
      <c r="Q68" s="41" t="s">
        <v>116</v>
      </c>
      <c r="R68" s="41">
        <v>5.17</v>
      </c>
      <c r="S68" s="41">
        <v>3.96</v>
      </c>
      <c r="T68" s="41">
        <v>6.39</v>
      </c>
      <c r="U68" s="41">
        <f t="shared" si="5"/>
        <v>5.1699999999999996E-2</v>
      </c>
      <c r="V68" s="41">
        <f t="shared" si="6"/>
        <v>3.9599999999999996E-2</v>
      </c>
      <c r="W68" s="41">
        <f t="shared" si="7"/>
        <v>6.3899999999999998E-2</v>
      </c>
      <c r="X68" s="41">
        <v>377.71012911642998</v>
      </c>
      <c r="Y68" s="41">
        <f t="shared" si="8"/>
        <v>19.527613675319429</v>
      </c>
      <c r="Z68" s="41">
        <f t="shared" si="9"/>
        <v>358.18251544111058</v>
      </c>
      <c r="AA68" s="41">
        <f t="shared" si="10"/>
        <v>5.1699999999999989E-2</v>
      </c>
      <c r="AB68" s="41">
        <f t="shared" si="11"/>
        <v>5.0909990694124732E-2</v>
      </c>
      <c r="AC68" s="41">
        <f t="shared" si="12"/>
        <v>3.1737302907019767E-2</v>
      </c>
      <c r="AD68" s="41">
        <f t="shared" si="13"/>
        <v>7.6145646903121422E-2</v>
      </c>
      <c r="AE68" s="41">
        <f t="shared" si="14"/>
        <v>6.9388939039072284E-16</v>
      </c>
      <c r="AF68" s="41">
        <f t="shared" si="15"/>
        <v>0.78626970929802298</v>
      </c>
      <c r="AG68" s="41">
        <f t="shared" si="16"/>
        <v>-1.2245646903121423</v>
      </c>
      <c r="CM68" s="41">
        <v>2004</v>
      </c>
      <c r="CN68" s="41" t="s">
        <v>210</v>
      </c>
      <c r="CO68" s="41" t="s">
        <v>284</v>
      </c>
      <c r="CP68" s="41" t="s">
        <v>120</v>
      </c>
      <c r="CQ68" s="41">
        <f t="shared" si="28"/>
        <v>0.20399999999999999</v>
      </c>
      <c r="CR68" s="41">
        <f t="shared" si="23"/>
        <v>0.14599999999999999</v>
      </c>
      <c r="CS68" s="41">
        <f t="shared" si="24"/>
        <v>0.26100000000000001</v>
      </c>
      <c r="CT68" s="48">
        <v>20.399999999999999</v>
      </c>
      <c r="CU68" s="48">
        <v>14.6</v>
      </c>
      <c r="CV68" s="48">
        <v>26.1</v>
      </c>
      <c r="CX68" s="48" t="s">
        <v>281</v>
      </c>
      <c r="CY68" s="48" t="s">
        <v>275</v>
      </c>
    </row>
    <row r="69" spans="1:104" x14ac:dyDescent="0.2">
      <c r="A69" s="44">
        <v>2015</v>
      </c>
      <c r="B69" s="44" t="s">
        <v>351</v>
      </c>
      <c r="C69" s="44" t="s">
        <v>43</v>
      </c>
      <c r="D69" s="44" t="s">
        <v>119</v>
      </c>
      <c r="E69" s="44">
        <v>0.1361</v>
      </c>
      <c r="F69" s="44"/>
      <c r="G69" s="44">
        <v>782.59447757852695</v>
      </c>
      <c r="O69" s="41">
        <f t="shared" si="26"/>
        <v>0</v>
      </c>
      <c r="P69" s="41" t="str">
        <f t="shared" si="27"/>
        <v>Female</v>
      </c>
      <c r="Q69" s="41" t="s">
        <v>116</v>
      </c>
      <c r="R69" s="41">
        <v>13.61</v>
      </c>
      <c r="S69" s="41">
        <v>11.38</v>
      </c>
      <c r="T69" s="41">
        <v>15.85</v>
      </c>
      <c r="U69" s="41">
        <f t="shared" si="5"/>
        <v>0.1361</v>
      </c>
      <c r="V69" s="41">
        <f t="shared" si="6"/>
        <v>0.11380000000000001</v>
      </c>
      <c r="W69" s="41">
        <f t="shared" si="7"/>
        <v>0.1585</v>
      </c>
      <c r="X69" s="41">
        <v>377.71012911642998</v>
      </c>
      <c r="Y69" s="41">
        <f t="shared" si="8"/>
        <v>51.406348572746118</v>
      </c>
      <c r="Z69" s="41">
        <f t="shared" si="9"/>
        <v>326.30378054368384</v>
      </c>
      <c r="AA69" s="41">
        <f t="shared" si="10"/>
        <v>0.1361</v>
      </c>
      <c r="AB69" s="41">
        <f t="shared" si="11"/>
        <v>0.13545748910456148</v>
      </c>
      <c r="AC69" s="41">
        <f t="shared" si="12"/>
        <v>0.10344426825228939</v>
      </c>
      <c r="AD69" s="41">
        <f t="shared" si="13"/>
        <v>0.17240319484426203</v>
      </c>
      <c r="AE69" s="41">
        <f t="shared" si="14"/>
        <v>0</v>
      </c>
      <c r="AF69" s="41">
        <f t="shared" si="15"/>
        <v>1.0355731747710624</v>
      </c>
      <c r="AG69" s="41">
        <f t="shared" si="16"/>
        <v>-1.390319484426203</v>
      </c>
      <c r="CM69" s="41">
        <v>2004</v>
      </c>
      <c r="CN69" s="41" t="s">
        <v>210</v>
      </c>
      <c r="CO69" s="41" t="s">
        <v>284</v>
      </c>
      <c r="CP69" s="41" t="s">
        <v>121</v>
      </c>
      <c r="CQ69" s="41">
        <f t="shared" si="28"/>
        <v>0.184</v>
      </c>
      <c r="CR69" s="41">
        <f t="shared" si="23"/>
        <v>0.11800000000000001</v>
      </c>
      <c r="CS69" s="41">
        <f t="shared" si="24"/>
        <v>0.25</v>
      </c>
      <c r="CT69" s="48">
        <v>18.399999999999999</v>
      </c>
      <c r="CU69" s="48">
        <v>11.8</v>
      </c>
      <c r="CV69" s="48">
        <v>25</v>
      </c>
      <c r="CX69" s="48" t="s">
        <v>281</v>
      </c>
      <c r="CY69" s="48" t="s">
        <v>276</v>
      </c>
    </row>
    <row r="70" spans="1:104" x14ac:dyDescent="0.2">
      <c r="A70" s="43">
        <v>2015</v>
      </c>
      <c r="B70" s="44" t="s">
        <v>351</v>
      </c>
      <c r="C70" s="43" t="s">
        <v>43</v>
      </c>
      <c r="D70" s="43" t="s">
        <v>120</v>
      </c>
      <c r="E70" s="43">
        <v>0.17460000000000001</v>
      </c>
      <c r="F70" s="43"/>
      <c r="G70" s="43">
        <v>749.61700963810097</v>
      </c>
      <c r="O70" s="41">
        <f t="shared" si="26"/>
        <v>0</v>
      </c>
      <c r="P70" s="41" t="str">
        <f t="shared" si="27"/>
        <v>Female</v>
      </c>
      <c r="Q70" s="41" t="s">
        <v>116</v>
      </c>
      <c r="R70" s="41">
        <v>17.46</v>
      </c>
      <c r="S70" s="41">
        <v>14.99</v>
      </c>
      <c r="T70" s="41">
        <v>19.93</v>
      </c>
      <c r="U70" s="41">
        <f t="shared" si="5"/>
        <v>0.17460000000000001</v>
      </c>
      <c r="V70" s="41">
        <f t="shared" si="6"/>
        <v>0.14990000000000001</v>
      </c>
      <c r="W70" s="41">
        <f t="shared" si="7"/>
        <v>0.1993</v>
      </c>
      <c r="X70" s="41">
        <v>377.71012911642998</v>
      </c>
      <c r="Y70" s="41">
        <f t="shared" si="8"/>
        <v>65.948188543728676</v>
      </c>
      <c r="Z70" s="41">
        <f t="shared" si="9"/>
        <v>311.76194057270129</v>
      </c>
      <c r="AA70" s="41">
        <f t="shared" si="10"/>
        <v>0.17460000000000001</v>
      </c>
      <c r="AB70" s="41">
        <f t="shared" si="11"/>
        <v>0.17402532217802361</v>
      </c>
      <c r="AC70" s="41">
        <f t="shared" si="12"/>
        <v>0.13804469328550378</v>
      </c>
      <c r="AD70" s="41">
        <f t="shared" si="13"/>
        <v>0.21441786332387647</v>
      </c>
      <c r="AE70" s="41">
        <f t="shared" si="14"/>
        <v>0</v>
      </c>
      <c r="AF70" s="41">
        <f t="shared" si="15"/>
        <v>1.1855306714496221</v>
      </c>
      <c r="AG70" s="41">
        <f t="shared" si="16"/>
        <v>-1.5117863323876461</v>
      </c>
      <c r="CM70" s="41">
        <v>2004</v>
      </c>
      <c r="CN70" s="41" t="s">
        <v>210</v>
      </c>
      <c r="CO70" s="41" t="s">
        <v>284</v>
      </c>
      <c r="CP70" s="41" t="s">
        <v>122</v>
      </c>
      <c r="CQ70" s="41">
        <f t="shared" si="28"/>
        <v>0.16500000000000001</v>
      </c>
      <c r="CR70" s="41">
        <f t="shared" si="23"/>
        <v>0.10300000000000001</v>
      </c>
      <c r="CS70" s="41">
        <f t="shared" si="24"/>
        <v>0.22600000000000001</v>
      </c>
      <c r="CT70" s="48">
        <v>16.5</v>
      </c>
      <c r="CU70" s="48">
        <v>10.3</v>
      </c>
      <c r="CV70" s="48">
        <v>22.6</v>
      </c>
      <c r="CX70" s="48" t="s">
        <v>281</v>
      </c>
      <c r="CY70" s="48" t="s">
        <v>277</v>
      </c>
    </row>
    <row r="71" spans="1:104" x14ac:dyDescent="0.2">
      <c r="A71" s="44">
        <v>2015</v>
      </c>
      <c r="B71" s="44" t="s">
        <v>351</v>
      </c>
      <c r="C71" s="44" t="s">
        <v>43</v>
      </c>
      <c r="D71" s="44" t="s">
        <v>121</v>
      </c>
      <c r="E71" s="44">
        <v>0.22109999999999999</v>
      </c>
      <c r="F71" s="44"/>
      <c r="G71" s="44">
        <v>652.61993477216197</v>
      </c>
      <c r="O71" s="41">
        <f t="shared" si="26"/>
        <v>0</v>
      </c>
      <c r="P71" s="41" t="str">
        <f t="shared" si="27"/>
        <v>Female</v>
      </c>
      <c r="Q71" s="41" t="s">
        <v>116</v>
      </c>
      <c r="R71" s="41">
        <v>22.11</v>
      </c>
      <c r="S71" s="41">
        <v>19.3</v>
      </c>
      <c r="T71" s="41">
        <v>24.92</v>
      </c>
      <c r="U71" s="41">
        <f t="shared" si="5"/>
        <v>0.22109999999999999</v>
      </c>
      <c r="V71" s="41">
        <f t="shared" si="6"/>
        <v>0.193</v>
      </c>
      <c r="W71" s="41">
        <f t="shared" si="7"/>
        <v>0.2492</v>
      </c>
      <c r="X71" s="41">
        <v>377.71012911642998</v>
      </c>
      <c r="Y71" s="41">
        <f t="shared" si="8"/>
        <v>83.511709547642667</v>
      </c>
      <c r="Z71" s="41">
        <f t="shared" si="9"/>
        <v>294.1984195687873</v>
      </c>
      <c r="AA71" s="41">
        <f t="shared" si="10"/>
        <v>0.22109999999999999</v>
      </c>
      <c r="AB71" s="41">
        <f t="shared" si="11"/>
        <v>0.22060735556427372</v>
      </c>
      <c r="AC71" s="41">
        <f t="shared" si="12"/>
        <v>0.18074379264334178</v>
      </c>
      <c r="AD71" s="41">
        <f t="shared" si="13"/>
        <v>0.26425315239039149</v>
      </c>
      <c r="AE71" s="41">
        <f t="shared" si="14"/>
        <v>0</v>
      </c>
      <c r="AF71" s="41">
        <f t="shared" si="15"/>
        <v>1.2256207356658222</v>
      </c>
      <c r="AG71" s="41">
        <f t="shared" si="16"/>
        <v>-1.5053152390391484</v>
      </c>
      <c r="CM71" s="41">
        <v>2004</v>
      </c>
      <c r="CN71" s="41" t="s">
        <v>210</v>
      </c>
      <c r="CO71" s="41" t="s">
        <v>284</v>
      </c>
      <c r="CP71" s="41" t="s">
        <v>123</v>
      </c>
      <c r="CQ71" s="41">
        <f t="shared" si="28"/>
        <v>9.5000000000000001E-2</v>
      </c>
      <c r="CR71" s="41">
        <f t="shared" si="23"/>
        <v>0.04</v>
      </c>
      <c r="CS71" s="41">
        <f t="shared" si="24"/>
        <v>0.14899999999999999</v>
      </c>
      <c r="CT71" s="48">
        <v>9.5</v>
      </c>
      <c r="CU71" s="48">
        <v>4</v>
      </c>
      <c r="CV71" s="48">
        <v>14.9</v>
      </c>
      <c r="CX71" s="48" t="s">
        <v>281</v>
      </c>
      <c r="CY71" s="48" t="s">
        <v>278</v>
      </c>
    </row>
    <row r="72" spans="1:104" x14ac:dyDescent="0.2">
      <c r="A72" s="43">
        <v>2015</v>
      </c>
      <c r="B72" s="44" t="s">
        <v>351</v>
      </c>
      <c r="C72" s="43" t="s">
        <v>43</v>
      </c>
      <c r="D72" s="43" t="s">
        <v>122</v>
      </c>
      <c r="E72" s="43">
        <v>0.24559999999999998</v>
      </c>
      <c r="F72" s="43"/>
      <c r="G72" s="43">
        <v>366.70955695236199</v>
      </c>
      <c r="O72" s="41">
        <f t="shared" si="26"/>
        <v>0</v>
      </c>
      <c r="P72" s="41" t="str">
        <f t="shared" si="27"/>
        <v>Female</v>
      </c>
      <c r="Q72" s="41" t="s">
        <v>116</v>
      </c>
      <c r="R72" s="41">
        <v>24.56</v>
      </c>
      <c r="S72" s="41">
        <v>20.73</v>
      </c>
      <c r="T72" s="41">
        <v>28.38</v>
      </c>
      <c r="U72" s="41">
        <f t="shared" si="5"/>
        <v>0.24559999999999998</v>
      </c>
      <c r="V72" s="41">
        <f t="shared" si="6"/>
        <v>0.20730000000000001</v>
      </c>
      <c r="W72" s="41">
        <f t="shared" si="7"/>
        <v>0.2838</v>
      </c>
      <c r="X72" s="41">
        <v>377.71012911642998</v>
      </c>
      <c r="Y72" s="41">
        <f t="shared" si="8"/>
        <v>92.765607710995198</v>
      </c>
      <c r="Z72" s="41">
        <f t="shared" si="9"/>
        <v>284.94452140543478</v>
      </c>
      <c r="AA72" s="41">
        <f t="shared" si="10"/>
        <v>0.24559999999999998</v>
      </c>
      <c r="AB72" s="41">
        <f t="shared" si="11"/>
        <v>0.24515060275640355</v>
      </c>
      <c r="AC72" s="41">
        <f t="shared" si="12"/>
        <v>0.203561950798369</v>
      </c>
      <c r="AD72" s="41">
        <f t="shared" si="13"/>
        <v>0.2901894976345587</v>
      </c>
      <c r="AE72" s="41">
        <f t="shared" si="14"/>
        <v>0</v>
      </c>
      <c r="AF72" s="41">
        <f t="shared" si="15"/>
        <v>0.37380492016310107</v>
      </c>
      <c r="AG72" s="41">
        <f t="shared" si="16"/>
        <v>-0.63894976345587051</v>
      </c>
      <c r="CM72" s="41">
        <v>2004</v>
      </c>
      <c r="CN72" s="41" t="s">
        <v>210</v>
      </c>
      <c r="CO72" s="41" t="s">
        <v>284</v>
      </c>
      <c r="CP72" s="41" t="s">
        <v>116</v>
      </c>
      <c r="CQ72" s="41">
        <f t="shared" si="28"/>
        <v>0.10199999999999999</v>
      </c>
      <c r="CR72" s="41">
        <f t="shared" si="23"/>
        <v>8.4000000000000005E-2</v>
      </c>
      <c r="CS72" s="41">
        <f t="shared" si="24"/>
        <v>0.12</v>
      </c>
      <c r="CT72" s="48">
        <v>10.199999999999999</v>
      </c>
      <c r="CU72" s="48">
        <v>8.4</v>
      </c>
      <c r="CV72" s="48">
        <v>12</v>
      </c>
      <c r="CX72" s="48" t="s">
        <v>281</v>
      </c>
      <c r="CY72" s="48" t="s">
        <v>279</v>
      </c>
    </row>
    <row r="73" spans="1:104" x14ac:dyDescent="0.2">
      <c r="A73" s="44">
        <v>2015</v>
      </c>
      <c r="B73" s="44" t="s">
        <v>351</v>
      </c>
      <c r="C73" s="44" t="s">
        <v>43</v>
      </c>
      <c r="D73" s="44" t="s">
        <v>123</v>
      </c>
      <c r="E73" s="44">
        <v>0.2026</v>
      </c>
      <c r="F73" s="44"/>
      <c r="G73" s="44">
        <v>313.44460490189999</v>
      </c>
      <c r="O73" s="41">
        <f t="shared" si="26"/>
        <v>0</v>
      </c>
      <c r="P73" s="41" t="str">
        <f t="shared" si="27"/>
        <v>Female</v>
      </c>
      <c r="Q73" s="41" t="s">
        <v>116</v>
      </c>
      <c r="R73" s="41">
        <v>20.260000000000002</v>
      </c>
      <c r="S73" s="41">
        <v>16.28</v>
      </c>
      <c r="T73" s="41">
        <v>24.23</v>
      </c>
      <c r="U73" s="41">
        <f t="shared" si="5"/>
        <v>0.2026</v>
      </c>
      <c r="V73" s="41">
        <f t="shared" si="6"/>
        <v>0.1628</v>
      </c>
      <c r="W73" s="41">
        <f t="shared" si="7"/>
        <v>0.24230000000000002</v>
      </c>
      <c r="X73" s="41">
        <v>377.71012911642998</v>
      </c>
      <c r="Y73" s="41">
        <f t="shared" si="8"/>
        <v>76.524072158988716</v>
      </c>
      <c r="Z73" s="41">
        <f t="shared" si="9"/>
        <v>301.18605695744128</v>
      </c>
      <c r="AA73" s="41">
        <f t="shared" si="10"/>
        <v>0.2026</v>
      </c>
      <c r="AB73" s="41">
        <f t="shared" si="11"/>
        <v>0.20207470944517666</v>
      </c>
      <c r="AC73" s="41">
        <f t="shared" si="12"/>
        <v>0.16365315491041779</v>
      </c>
      <c r="AD73" s="41">
        <f t="shared" si="13"/>
        <v>0.24452909671015832</v>
      </c>
      <c r="AE73" s="41">
        <f t="shared" si="14"/>
        <v>0</v>
      </c>
      <c r="AF73" s="41">
        <f t="shared" si="15"/>
        <v>-8.5315491041779157E-2</v>
      </c>
      <c r="AG73" s="41">
        <f t="shared" si="16"/>
        <v>-0.2229096710158307</v>
      </c>
    </row>
    <row r="74" spans="1:104" x14ac:dyDescent="0.2">
      <c r="A74" s="43">
        <v>2015</v>
      </c>
      <c r="B74" s="44" t="s">
        <v>351</v>
      </c>
      <c r="C74" s="43" t="s">
        <v>43</v>
      </c>
      <c r="D74" s="43" t="s">
        <v>124</v>
      </c>
      <c r="E74" s="43">
        <v>0.16420000000000001</v>
      </c>
      <c r="F74" s="43"/>
      <c r="G74" s="43">
        <v>320.99160346566703</v>
      </c>
      <c r="O74" s="41">
        <f t="shared" si="26"/>
        <v>0</v>
      </c>
      <c r="P74" s="41" t="str">
        <f t="shared" si="27"/>
        <v>Female</v>
      </c>
      <c r="Q74" s="41" t="s">
        <v>116</v>
      </c>
      <c r="R74" s="41">
        <v>16.420000000000002</v>
      </c>
      <c r="S74" s="41">
        <v>12.71</v>
      </c>
      <c r="T74" s="41">
        <v>20.13</v>
      </c>
      <c r="U74" s="41">
        <f t="shared" ref="U74:U78" si="29">R74/100</f>
        <v>0.16420000000000001</v>
      </c>
      <c r="V74" s="41">
        <f t="shared" ref="V74:V78" si="30">S74/100</f>
        <v>0.12710000000000002</v>
      </c>
      <c r="W74" s="41">
        <f t="shared" ref="W74:W78" si="31">T74/100</f>
        <v>0.20129999999999998</v>
      </c>
      <c r="X74" s="41">
        <v>377.71012911642998</v>
      </c>
      <c r="Y74" s="41">
        <f t="shared" ref="Y74:Y78" si="32">U74*X74</f>
        <v>62.020003200917806</v>
      </c>
      <c r="Z74" s="41">
        <f t="shared" ref="Z74:Z78" si="33">(1-U74)*X74</f>
        <v>315.69012591551217</v>
      </c>
      <c r="AA74" s="41">
        <f t="shared" ref="AA74:AA78" si="34">Y74/(Y74+Z74)</f>
        <v>0.16420000000000001</v>
      </c>
      <c r="AB74" s="41">
        <f t="shared" ref="AB74:AB78" si="35">BETAINV(0.5,Y74,Z74)</f>
        <v>0.16360698792592862</v>
      </c>
      <c r="AC74" s="41">
        <f t="shared" ref="AC74:AC78" si="36">BETAINV(0.025,Y74,Z74)</f>
        <v>0.12862188129902247</v>
      </c>
      <c r="AD74" s="41">
        <f t="shared" ref="AD74:AD78" si="37">BETAINV(0.975,Y74,Z74)</f>
        <v>0.20314472249934845</v>
      </c>
      <c r="AE74" s="41">
        <f t="shared" ref="AE74:AE78" si="38">(U74-AA74)*100</f>
        <v>0</v>
      </c>
      <c r="AF74" s="41">
        <f t="shared" ref="AF74:AF78" si="39">(V74-AC74)*100</f>
        <v>-0.15218812990224484</v>
      </c>
      <c r="AG74" s="41">
        <f t="shared" ref="AG74:AG78" si="40">(W74-AD74)*100</f>
        <v>-0.18447224993484723</v>
      </c>
    </row>
    <row r="75" spans="1:104" x14ac:dyDescent="0.2">
      <c r="A75" s="44">
        <v>2015</v>
      </c>
      <c r="B75" s="44" t="s">
        <v>351</v>
      </c>
      <c r="C75" s="44" t="s">
        <v>43</v>
      </c>
      <c r="D75" s="44" t="s">
        <v>127</v>
      </c>
      <c r="E75" s="44">
        <v>0.161</v>
      </c>
      <c r="F75" s="44"/>
      <c r="G75" s="44">
        <v>209.477736194682</v>
      </c>
      <c r="O75" s="41">
        <f t="shared" si="26"/>
        <v>0</v>
      </c>
      <c r="P75" s="41" t="str">
        <f t="shared" si="27"/>
        <v>Female</v>
      </c>
      <c r="Q75" s="41" t="s">
        <v>116</v>
      </c>
      <c r="R75" s="41">
        <v>16.100000000000001</v>
      </c>
      <c r="S75" s="41">
        <v>11.53</v>
      </c>
      <c r="T75" s="41">
        <v>20.67</v>
      </c>
      <c r="U75" s="41">
        <f t="shared" si="29"/>
        <v>0.161</v>
      </c>
      <c r="V75" s="41">
        <f t="shared" si="30"/>
        <v>0.1153</v>
      </c>
      <c r="W75" s="41">
        <f t="shared" si="31"/>
        <v>0.20670000000000002</v>
      </c>
      <c r="X75" s="41">
        <v>377.71012911642998</v>
      </c>
      <c r="Y75" s="41">
        <f t="shared" si="32"/>
        <v>60.811330787745227</v>
      </c>
      <c r="Z75" s="41">
        <f t="shared" si="33"/>
        <v>316.89879832868473</v>
      </c>
      <c r="AA75" s="41">
        <f t="shared" si="34"/>
        <v>0.161</v>
      </c>
      <c r="AB75" s="41">
        <f t="shared" si="35"/>
        <v>0.160401347937696</v>
      </c>
      <c r="AC75" s="41">
        <f t="shared" si="36"/>
        <v>0.12573318167843242</v>
      </c>
      <c r="AD75" s="41">
        <f t="shared" si="37"/>
        <v>0.19966542754187</v>
      </c>
      <c r="AE75" s="41">
        <f t="shared" si="38"/>
        <v>0</v>
      </c>
      <c r="AF75" s="41">
        <f t="shared" si="39"/>
        <v>-1.0433181678432422</v>
      </c>
      <c r="AG75" s="41">
        <f t="shared" si="40"/>
        <v>0.70345724581300229</v>
      </c>
      <c r="CN75" s="41" t="s">
        <v>288</v>
      </c>
    </row>
    <row r="76" spans="1:104" x14ac:dyDescent="0.2">
      <c r="A76" s="43">
        <v>2015</v>
      </c>
      <c r="B76" s="44" t="s">
        <v>351</v>
      </c>
      <c r="C76" s="43" t="s">
        <v>43</v>
      </c>
      <c r="D76" s="43" t="s">
        <v>215</v>
      </c>
      <c r="E76" s="43">
        <v>0.13880000000000001</v>
      </c>
      <c r="F76" s="43"/>
      <c r="G76" s="43">
        <v>149.662002431556</v>
      </c>
      <c r="O76" s="41">
        <f t="shared" si="26"/>
        <v>0</v>
      </c>
      <c r="P76" s="41" t="str">
        <f t="shared" si="27"/>
        <v>Female</v>
      </c>
      <c r="Q76" s="41" t="s">
        <v>116</v>
      </c>
      <c r="R76" s="41">
        <v>13.88</v>
      </c>
      <c r="S76" s="41">
        <v>8.7100000000000009</v>
      </c>
      <c r="T76" s="41">
        <v>19.05</v>
      </c>
      <c r="U76" s="41">
        <f t="shared" si="29"/>
        <v>0.13880000000000001</v>
      </c>
      <c r="V76" s="41">
        <f t="shared" si="30"/>
        <v>8.7100000000000011E-2</v>
      </c>
      <c r="W76" s="41">
        <f t="shared" si="31"/>
        <v>0.1905</v>
      </c>
      <c r="X76" s="41">
        <v>377.71012911642998</v>
      </c>
      <c r="Y76" s="41">
        <f t="shared" si="32"/>
        <v>52.426165921360486</v>
      </c>
      <c r="Z76" s="41">
        <f t="shared" si="33"/>
        <v>325.28396319506948</v>
      </c>
      <c r="AA76" s="41">
        <f t="shared" si="34"/>
        <v>0.13880000000000001</v>
      </c>
      <c r="AB76" s="41">
        <f t="shared" si="35"/>
        <v>0.13816224210652486</v>
      </c>
      <c r="AC76" s="41">
        <f t="shared" si="36"/>
        <v>0.10584379671809106</v>
      </c>
      <c r="AD76" s="41">
        <f t="shared" si="37"/>
        <v>0.17537670134774308</v>
      </c>
      <c r="AE76" s="41">
        <f t="shared" si="38"/>
        <v>0</v>
      </c>
      <c r="AF76" s="41">
        <f t="shared" si="39"/>
        <v>-1.8743796718091053</v>
      </c>
      <c r="AG76" s="41">
        <f t="shared" si="40"/>
        <v>1.5123298652256922</v>
      </c>
      <c r="CQ76" s="41" t="s">
        <v>331</v>
      </c>
      <c r="CR76" s="41" t="s">
        <v>314</v>
      </c>
      <c r="CS76" s="41" t="s">
        <v>315</v>
      </c>
    </row>
    <row r="77" spans="1:104" x14ac:dyDescent="0.2">
      <c r="A77" s="43">
        <v>2015</v>
      </c>
      <c r="B77" s="43" t="s">
        <v>351</v>
      </c>
      <c r="C77" s="43" t="s">
        <v>44</v>
      </c>
      <c r="D77" s="43" t="s">
        <v>116</v>
      </c>
      <c r="E77" s="43">
        <v>7.7699999999999991E-2</v>
      </c>
      <c r="F77" s="43"/>
      <c r="G77" s="43">
        <v>4402.56922659266</v>
      </c>
      <c r="O77" s="41">
        <f t="shared" si="26"/>
        <v>0</v>
      </c>
      <c r="P77" s="41" t="str">
        <f t="shared" si="27"/>
        <v>Male</v>
      </c>
      <c r="Q77" s="41" t="s">
        <v>116</v>
      </c>
      <c r="R77" s="41">
        <v>7.77</v>
      </c>
      <c r="S77" s="41">
        <v>7.01</v>
      </c>
      <c r="T77" s="41">
        <v>8.5299999999999994</v>
      </c>
      <c r="U77" s="41">
        <f t="shared" si="29"/>
        <v>7.7699999999999991E-2</v>
      </c>
      <c r="V77" s="41">
        <f t="shared" si="30"/>
        <v>7.0099999999999996E-2</v>
      </c>
      <c r="W77" s="41">
        <f t="shared" si="31"/>
        <v>8.5299999999999987E-2</v>
      </c>
      <c r="X77" s="41">
        <v>377.71012911642998</v>
      </c>
      <c r="Y77" s="41">
        <f t="shared" si="32"/>
        <v>29.348077032346605</v>
      </c>
      <c r="Z77" s="41">
        <f t="shared" si="33"/>
        <v>348.36205208408336</v>
      </c>
      <c r="AA77" s="41">
        <f t="shared" si="34"/>
        <v>7.7699999999999991E-2</v>
      </c>
      <c r="AB77" s="41">
        <f t="shared" si="35"/>
        <v>7.6955028857485383E-2</v>
      </c>
      <c r="AC77" s="41">
        <f t="shared" si="36"/>
        <v>5.2929628168994935E-2</v>
      </c>
      <c r="AD77" s="41">
        <f t="shared" si="37"/>
        <v>0.10669869830517342</v>
      </c>
      <c r="AE77" s="41">
        <f t="shared" si="38"/>
        <v>0</v>
      </c>
      <c r="AF77" s="41">
        <f t="shared" si="39"/>
        <v>1.717037183100506</v>
      </c>
      <c r="AG77" s="41">
        <f t="shared" si="40"/>
        <v>-2.1398698305173438</v>
      </c>
      <c r="CM77" s="41">
        <v>2015</v>
      </c>
      <c r="CN77" s="41" t="s">
        <v>210</v>
      </c>
      <c r="CO77" s="41" t="s">
        <v>289</v>
      </c>
      <c r="CP77" s="41" t="s">
        <v>117</v>
      </c>
      <c r="CQ77" s="41">
        <f>CX77/100</f>
        <v>8.8999999999999999E-3</v>
      </c>
      <c r="CR77" s="41">
        <f>CY77/100</f>
        <v>3.9000000000000003E-3</v>
      </c>
      <c r="CS77" s="41">
        <f>CZ77/100</f>
        <v>1.3899999999999999E-2</v>
      </c>
      <c r="CV77" s="41" t="s">
        <v>290</v>
      </c>
      <c r="CW77" s="41" t="s">
        <v>291</v>
      </c>
      <c r="CX77" s="41">
        <v>0.89</v>
      </c>
      <c r="CY77" s="41">
        <v>0.39</v>
      </c>
      <c r="CZ77" s="41">
        <v>1.39</v>
      </c>
    </row>
    <row r="78" spans="1:104" x14ac:dyDescent="0.2">
      <c r="A78" s="44">
        <v>2015</v>
      </c>
      <c r="B78" s="43" t="s">
        <v>351</v>
      </c>
      <c r="C78" s="44" t="s">
        <v>43</v>
      </c>
      <c r="D78" s="44" t="s">
        <v>116</v>
      </c>
      <c r="E78" s="44">
        <v>0.12119999999999999</v>
      </c>
      <c r="F78" s="44"/>
      <c r="G78" s="44">
        <v>4027.2527008560201</v>
      </c>
      <c r="O78" s="41">
        <f t="shared" si="26"/>
        <v>0</v>
      </c>
      <c r="P78" s="41" t="str">
        <f t="shared" si="27"/>
        <v>Female</v>
      </c>
      <c r="Q78" s="41" t="s">
        <v>116</v>
      </c>
      <c r="R78" s="41">
        <v>12.12</v>
      </c>
      <c r="S78" s="41">
        <v>11.18</v>
      </c>
      <c r="T78" s="41">
        <v>13.07</v>
      </c>
      <c r="U78" s="41">
        <f t="shared" si="29"/>
        <v>0.12119999999999999</v>
      </c>
      <c r="V78" s="41">
        <f t="shared" si="30"/>
        <v>0.1118</v>
      </c>
      <c r="W78" s="41">
        <f t="shared" si="31"/>
        <v>0.13070000000000001</v>
      </c>
      <c r="X78" s="41">
        <v>377.71012911642998</v>
      </c>
      <c r="Y78" s="41">
        <f t="shared" si="32"/>
        <v>45.77846764891131</v>
      </c>
      <c r="Z78" s="41">
        <f t="shared" si="33"/>
        <v>331.93166146751867</v>
      </c>
      <c r="AA78" s="41">
        <f t="shared" si="34"/>
        <v>0.12119999999999999</v>
      </c>
      <c r="AB78" s="41">
        <f t="shared" si="35"/>
        <v>0.12053127575685341</v>
      </c>
      <c r="AC78" s="41">
        <f t="shared" si="36"/>
        <v>9.0287970389808181E-2</v>
      </c>
      <c r="AD78" s="41">
        <f t="shared" si="37"/>
        <v>0.15590818821687624</v>
      </c>
      <c r="AE78" s="41">
        <f t="shared" si="38"/>
        <v>0</v>
      </c>
      <c r="AF78" s="41">
        <f t="shared" si="39"/>
        <v>2.1512029610191816</v>
      </c>
      <c r="AG78" s="41">
        <f t="shared" si="40"/>
        <v>-2.5208188216876231</v>
      </c>
      <c r="CM78" s="41">
        <v>2015</v>
      </c>
      <c r="CN78" s="41" t="s">
        <v>210</v>
      </c>
      <c r="CO78" s="41" t="s">
        <v>289</v>
      </c>
      <c r="CP78" s="41" t="s">
        <v>118</v>
      </c>
      <c r="CQ78" s="41">
        <f t="shared" ref="CQ78:CQ96" si="41">CX78/100</f>
        <v>2.3099999999999999E-2</v>
      </c>
      <c r="CR78" s="41">
        <f t="shared" ref="CR78:CR99" si="42">CY78/100</f>
        <v>1.34E-2</v>
      </c>
      <c r="CS78" s="41">
        <f t="shared" ref="CS78:CS99" si="43">CZ78/100</f>
        <v>3.2799999999999996E-2</v>
      </c>
      <c r="CV78" s="41" t="s">
        <v>290</v>
      </c>
      <c r="CW78" s="41" t="s">
        <v>292</v>
      </c>
      <c r="CX78" s="41">
        <v>2.31</v>
      </c>
      <c r="CY78" s="41">
        <v>1.34</v>
      </c>
      <c r="CZ78" s="41">
        <v>3.28</v>
      </c>
    </row>
    <row r="79" spans="1:104" x14ac:dyDescent="0.2">
      <c r="A79" s="44">
        <v>2015</v>
      </c>
      <c r="B79" s="44" t="s">
        <v>316</v>
      </c>
      <c r="C79" s="44" t="s">
        <v>43</v>
      </c>
      <c r="D79" s="44" t="s">
        <v>116</v>
      </c>
      <c r="E79" s="44">
        <v>5.5999999999999994E-2</v>
      </c>
      <c r="F79" s="44">
        <v>0.25</v>
      </c>
      <c r="G79" s="44">
        <v>861.376953125</v>
      </c>
      <c r="O79" s="41">
        <f t="shared" si="26"/>
        <v>0</v>
      </c>
      <c r="P79" s="41" t="str">
        <f t="shared" si="27"/>
        <v>Female</v>
      </c>
      <c r="Q79" s="41" t="s">
        <v>116</v>
      </c>
      <c r="R79" s="41">
        <f>U79*100</f>
        <v>5.6</v>
      </c>
      <c r="S79" s="41">
        <f t="shared" ref="S79:S96" si="44">V79*100</f>
        <v>4.0999999999999996</v>
      </c>
      <c r="T79" s="41">
        <f t="shared" ref="T79:T96" si="45">W79*100</f>
        <v>7.1</v>
      </c>
      <c r="U79" s="41">
        <v>5.5999999999999994E-2</v>
      </c>
      <c r="V79" s="41">
        <v>4.0999999999999995E-2</v>
      </c>
      <c r="W79" s="41">
        <v>7.0999999999999994E-2</v>
      </c>
      <c r="X79" s="41">
        <v>377.71012911642998</v>
      </c>
      <c r="Y79" s="41">
        <f t="shared" ref="Y79:Y96" si="46">U79*X79</f>
        <v>21.151767230520075</v>
      </c>
      <c r="Z79" s="41">
        <f t="shared" ref="Z79:Z96" si="47">(1-U79)*X79</f>
        <v>356.5583618859099</v>
      </c>
      <c r="AA79" s="41">
        <f t="shared" ref="AA79:AA96" si="48">Y79/(Y79+Z79)</f>
        <v>5.5999999999999987E-2</v>
      </c>
      <c r="AB79" s="41">
        <f t="shared" ref="AB79:AB96" si="49">BETAINV(0.5,Y79,Z79)</f>
        <v>5.5217378994847674E-2</v>
      </c>
      <c r="AC79" s="41">
        <f t="shared" ref="AC79:AC96" si="50">BETAINV(0.025,Y79,Z79)</f>
        <v>3.5156179860006596E-2</v>
      </c>
      <c r="AD79" s="41">
        <f t="shared" ref="AD79:AD96" si="51">BETAINV(0.975,Y79,Z79)</f>
        <v>8.1285074702609039E-2</v>
      </c>
      <c r="AE79" s="41">
        <f t="shared" ref="AE79:AE96" si="52">(U79-AA79)*100</f>
        <v>6.9388939039072284E-16</v>
      </c>
      <c r="AF79" s="41">
        <f t="shared" ref="AF79:AF96" si="53">(V79-AC79)*100</f>
        <v>0.58438201399933987</v>
      </c>
      <c r="AG79" s="41">
        <f t="shared" ref="AG79:AG96" si="54">(W79-AD79)*100</f>
        <v>-1.0285074702609045</v>
      </c>
      <c r="CM79" s="41">
        <v>2015</v>
      </c>
      <c r="CN79" s="41" t="s">
        <v>210</v>
      </c>
      <c r="CO79" s="41" t="s">
        <v>289</v>
      </c>
      <c r="CP79" s="41" t="s">
        <v>119</v>
      </c>
      <c r="CQ79" s="41">
        <f t="shared" si="41"/>
        <v>4.7199999999999999E-2</v>
      </c>
      <c r="CR79" s="41">
        <f t="shared" si="42"/>
        <v>3.3099999999999997E-2</v>
      </c>
      <c r="CS79" s="41">
        <f t="shared" si="43"/>
        <v>6.13E-2</v>
      </c>
      <c r="CV79" s="41" t="s">
        <v>290</v>
      </c>
      <c r="CW79" s="41" t="s">
        <v>293</v>
      </c>
      <c r="CX79" s="41">
        <v>4.72</v>
      </c>
      <c r="CY79" s="41">
        <v>3.31</v>
      </c>
      <c r="CZ79" s="41">
        <v>6.13</v>
      </c>
    </row>
    <row r="80" spans="1:104" x14ac:dyDescent="0.2">
      <c r="A80" s="43">
        <v>2015</v>
      </c>
      <c r="B80" s="43" t="s">
        <v>317</v>
      </c>
      <c r="C80" s="43" t="s">
        <v>43</v>
      </c>
      <c r="D80" s="43" t="s">
        <v>116</v>
      </c>
      <c r="E80" s="43">
        <v>6.7000000000000004E-2</v>
      </c>
      <c r="F80" s="44">
        <v>0.25</v>
      </c>
      <c r="G80" s="43">
        <v>824.43920534048505</v>
      </c>
      <c r="O80" s="41">
        <f t="shared" si="26"/>
        <v>0</v>
      </c>
      <c r="P80" s="41" t="str">
        <f t="shared" si="27"/>
        <v>Female</v>
      </c>
      <c r="Q80" s="41" t="s">
        <v>116</v>
      </c>
      <c r="R80" s="41">
        <f t="shared" ref="R80:R96" si="55">U80*100</f>
        <v>6.7</v>
      </c>
      <c r="S80" s="41">
        <f t="shared" si="44"/>
        <v>5.0999999999999996</v>
      </c>
      <c r="T80" s="41">
        <f t="shared" si="45"/>
        <v>8.4</v>
      </c>
      <c r="U80" s="41">
        <v>6.7000000000000004E-2</v>
      </c>
      <c r="V80" s="41">
        <v>5.0999999999999997E-2</v>
      </c>
      <c r="W80" s="41">
        <v>8.4000000000000005E-2</v>
      </c>
      <c r="X80" s="41">
        <v>377.71012911642998</v>
      </c>
      <c r="Y80" s="41">
        <f t="shared" si="46"/>
        <v>25.306578650800809</v>
      </c>
      <c r="Z80" s="41">
        <f t="shared" si="47"/>
        <v>352.40355046562917</v>
      </c>
      <c r="AA80" s="41">
        <f t="shared" si="48"/>
        <v>6.7000000000000004E-2</v>
      </c>
      <c r="AB80" s="41">
        <f t="shared" si="49"/>
        <v>6.6236405715175806E-2</v>
      </c>
      <c r="AC80" s="41">
        <f t="shared" si="50"/>
        <v>4.4069332262511238E-2</v>
      </c>
      <c r="AD80" s="41">
        <f t="shared" si="51"/>
        <v>9.4264389175217622E-2</v>
      </c>
      <c r="AE80" s="41">
        <f t="shared" si="52"/>
        <v>0</v>
      </c>
      <c r="AF80" s="41">
        <f t="shared" si="53"/>
        <v>0.69306677374887593</v>
      </c>
      <c r="AG80" s="41">
        <f t="shared" si="54"/>
        <v>-1.0264389175217616</v>
      </c>
      <c r="CM80" s="41">
        <v>2015</v>
      </c>
      <c r="CN80" s="41" t="s">
        <v>210</v>
      </c>
      <c r="CO80" s="41" t="s">
        <v>289</v>
      </c>
      <c r="CP80" s="41" t="s">
        <v>120</v>
      </c>
      <c r="CQ80" s="41">
        <f t="shared" si="41"/>
        <v>0.1207</v>
      </c>
      <c r="CR80" s="41">
        <f t="shared" si="42"/>
        <v>9.4299999999999995E-2</v>
      </c>
      <c r="CS80" s="41">
        <f t="shared" si="43"/>
        <v>0.14710000000000001</v>
      </c>
      <c r="CV80" s="41" t="s">
        <v>290</v>
      </c>
      <c r="CW80" s="41" t="s">
        <v>294</v>
      </c>
      <c r="CX80" s="41">
        <v>12.07</v>
      </c>
      <c r="CY80" s="41">
        <v>9.43</v>
      </c>
      <c r="CZ80" s="41">
        <v>14.71</v>
      </c>
    </row>
    <row r="81" spans="1:104" x14ac:dyDescent="0.2">
      <c r="A81" s="44">
        <v>2015</v>
      </c>
      <c r="B81" s="44" t="s">
        <v>325</v>
      </c>
      <c r="C81" s="44" t="s">
        <v>43</v>
      </c>
      <c r="D81" s="44" t="s">
        <v>116</v>
      </c>
      <c r="E81" s="44">
        <v>0.157</v>
      </c>
      <c r="F81" s="44">
        <v>0.25</v>
      </c>
      <c r="G81" s="44">
        <v>1675.3240694665601</v>
      </c>
      <c r="O81" s="41">
        <f t="shared" si="26"/>
        <v>0</v>
      </c>
      <c r="P81" s="41" t="str">
        <f t="shared" si="27"/>
        <v>Female</v>
      </c>
      <c r="Q81" s="41" t="s">
        <v>116</v>
      </c>
      <c r="R81" s="41">
        <f t="shared" si="55"/>
        <v>15.7</v>
      </c>
      <c r="S81" s="41">
        <f t="shared" si="44"/>
        <v>14.099999999999998</v>
      </c>
      <c r="T81" s="41">
        <f t="shared" si="45"/>
        <v>17.3</v>
      </c>
      <c r="U81" s="41">
        <v>0.157</v>
      </c>
      <c r="V81" s="41">
        <v>0.14099999999999999</v>
      </c>
      <c r="W81" s="41">
        <v>0.17300000000000001</v>
      </c>
      <c r="X81" s="41">
        <v>377.71012911642998</v>
      </c>
      <c r="Y81" s="41">
        <f t="shared" si="46"/>
        <v>59.300490271279507</v>
      </c>
      <c r="Z81" s="41">
        <f t="shared" si="47"/>
        <v>318.40963884515048</v>
      </c>
      <c r="AA81" s="41">
        <f t="shared" si="48"/>
        <v>0.157</v>
      </c>
      <c r="AB81" s="41">
        <f t="shared" si="49"/>
        <v>0.15639429892545761</v>
      </c>
      <c r="AC81" s="41">
        <f t="shared" si="50"/>
        <v>0.12212964910150274</v>
      </c>
      <c r="AD81" s="41">
        <f t="shared" si="51"/>
        <v>0.19530896019029731</v>
      </c>
      <c r="AE81" s="41">
        <f t="shared" si="52"/>
        <v>0</v>
      </c>
      <c r="AF81" s="41">
        <f t="shared" si="53"/>
        <v>1.8870350898497243</v>
      </c>
      <c r="AG81" s="41">
        <f t="shared" si="54"/>
        <v>-2.2308960190297293</v>
      </c>
      <c r="CM81" s="41">
        <v>2015</v>
      </c>
      <c r="CN81" s="41" t="s">
        <v>210</v>
      </c>
      <c r="CO81" s="41" t="s">
        <v>289</v>
      </c>
      <c r="CP81" s="41" t="s">
        <v>121</v>
      </c>
      <c r="CQ81" s="41">
        <f t="shared" si="41"/>
        <v>0.14499999999999999</v>
      </c>
      <c r="CR81" s="41">
        <f t="shared" si="42"/>
        <v>0.11410000000000001</v>
      </c>
      <c r="CS81" s="41">
        <f t="shared" si="43"/>
        <v>0.1759</v>
      </c>
      <c r="CV81" s="41" t="s">
        <v>290</v>
      </c>
      <c r="CW81" s="41" t="s">
        <v>295</v>
      </c>
      <c r="CX81" s="41">
        <v>14.5</v>
      </c>
      <c r="CY81" s="41">
        <v>11.41</v>
      </c>
      <c r="CZ81" s="41">
        <v>17.59</v>
      </c>
    </row>
    <row r="82" spans="1:104" x14ac:dyDescent="0.2">
      <c r="A82" s="43">
        <v>2010</v>
      </c>
      <c r="B82" s="43" t="s">
        <v>316</v>
      </c>
      <c r="C82" s="43" t="s">
        <v>43</v>
      </c>
      <c r="D82" s="43" t="s">
        <v>116</v>
      </c>
      <c r="E82" s="43">
        <v>8.199999999999999E-2</v>
      </c>
      <c r="F82" s="44">
        <v>0.25</v>
      </c>
      <c r="G82" s="43">
        <v>582.71484375</v>
      </c>
      <c r="O82" s="41">
        <f t="shared" si="26"/>
        <v>0</v>
      </c>
      <c r="P82" s="41" t="str">
        <f t="shared" si="27"/>
        <v>Female</v>
      </c>
      <c r="Q82" s="41" t="s">
        <v>116</v>
      </c>
      <c r="R82" s="41">
        <f t="shared" si="55"/>
        <v>8.1999999999999993</v>
      </c>
      <c r="S82" s="41">
        <f t="shared" si="44"/>
        <v>6</v>
      </c>
      <c r="T82" s="41">
        <f t="shared" si="45"/>
        <v>10.3</v>
      </c>
      <c r="U82" s="41">
        <v>8.199999999999999E-2</v>
      </c>
      <c r="V82" s="41">
        <v>0.06</v>
      </c>
      <c r="W82" s="41">
        <v>0.10300000000000001</v>
      </c>
      <c r="X82" s="41">
        <v>377.71012911642998</v>
      </c>
      <c r="Y82" s="41">
        <f t="shared" si="46"/>
        <v>30.972230587547255</v>
      </c>
      <c r="Z82" s="41">
        <f t="shared" si="47"/>
        <v>346.73789852888274</v>
      </c>
      <c r="AA82" s="41">
        <f t="shared" si="48"/>
        <v>8.199999999999999E-2</v>
      </c>
      <c r="AB82" s="41">
        <f t="shared" si="49"/>
        <v>8.1262534683930979E-2</v>
      </c>
      <c r="AC82" s="41">
        <f t="shared" si="50"/>
        <v>5.6534708547742181E-2</v>
      </c>
      <c r="AD82" s="41">
        <f t="shared" si="51"/>
        <v>0.11165111302151798</v>
      </c>
      <c r="AE82" s="41">
        <f t="shared" si="52"/>
        <v>0</v>
      </c>
      <c r="AF82" s="41">
        <f t="shared" si="53"/>
        <v>0.34652914522578171</v>
      </c>
      <c r="AG82" s="41">
        <f t="shared" si="54"/>
        <v>-0.86511130215179699</v>
      </c>
      <c r="CM82" s="41">
        <v>2015</v>
      </c>
      <c r="CN82" s="41" t="s">
        <v>210</v>
      </c>
      <c r="CO82" s="41" t="s">
        <v>289</v>
      </c>
      <c r="CP82" s="41" t="s">
        <v>122</v>
      </c>
      <c r="CQ82" s="41">
        <f t="shared" si="41"/>
        <v>0.1862</v>
      </c>
      <c r="CR82" s="41">
        <f t="shared" si="42"/>
        <v>0.1515</v>
      </c>
      <c r="CS82" s="41">
        <f t="shared" si="43"/>
        <v>0.22089999999999999</v>
      </c>
      <c r="CV82" s="41" t="s">
        <v>290</v>
      </c>
      <c r="CW82" s="41" t="s">
        <v>296</v>
      </c>
      <c r="CX82" s="41">
        <v>18.62</v>
      </c>
      <c r="CY82" s="41">
        <v>15.15</v>
      </c>
      <c r="CZ82" s="41">
        <v>22.09</v>
      </c>
    </row>
    <row r="83" spans="1:104" x14ac:dyDescent="0.2">
      <c r="A83" s="44">
        <v>2010</v>
      </c>
      <c r="B83" s="44" t="s">
        <v>317</v>
      </c>
      <c r="C83" s="44" t="s">
        <v>43</v>
      </c>
      <c r="D83" s="44" t="s">
        <v>116</v>
      </c>
      <c r="E83" s="44">
        <v>0.09</v>
      </c>
      <c r="F83" s="44">
        <v>0.25</v>
      </c>
      <c r="G83" s="44">
        <v>753.64312065972194</v>
      </c>
      <c r="O83" s="41">
        <f t="shared" si="26"/>
        <v>0</v>
      </c>
      <c r="P83" s="41" t="str">
        <f t="shared" si="27"/>
        <v>Female</v>
      </c>
      <c r="Q83" s="41" t="s">
        <v>116</v>
      </c>
      <c r="R83" s="41">
        <f t="shared" si="55"/>
        <v>9</v>
      </c>
      <c r="S83" s="41">
        <f t="shared" si="44"/>
        <v>7.1</v>
      </c>
      <c r="T83" s="41">
        <f t="shared" si="45"/>
        <v>11</v>
      </c>
      <c r="U83" s="41">
        <v>0.09</v>
      </c>
      <c r="V83" s="41">
        <v>7.0999999999999994E-2</v>
      </c>
      <c r="W83" s="41">
        <v>0.11</v>
      </c>
      <c r="X83" s="41">
        <v>377.71012911642998</v>
      </c>
      <c r="Y83" s="41">
        <f t="shared" si="46"/>
        <v>33.993911620478698</v>
      </c>
      <c r="Z83" s="41">
        <f t="shared" si="47"/>
        <v>343.7162174959513</v>
      </c>
      <c r="AA83" s="41">
        <f t="shared" si="48"/>
        <v>0.09</v>
      </c>
      <c r="AB83" s="41">
        <f t="shared" si="49"/>
        <v>8.9276523631623486E-2</v>
      </c>
      <c r="AC83" s="41">
        <f t="shared" si="50"/>
        <v>6.3301049357818301E-2</v>
      </c>
      <c r="AD83" s="41">
        <f t="shared" si="51"/>
        <v>0.12080552369037423</v>
      </c>
      <c r="AE83" s="41">
        <f t="shared" si="52"/>
        <v>0</v>
      </c>
      <c r="AF83" s="41">
        <f t="shared" si="53"/>
        <v>0.76989506421816922</v>
      </c>
      <c r="AG83" s="41">
        <f t="shared" si="54"/>
        <v>-1.0805523690374228</v>
      </c>
      <c r="CM83" s="41">
        <v>2015</v>
      </c>
      <c r="CN83" s="41" t="s">
        <v>210</v>
      </c>
      <c r="CO83" s="41" t="s">
        <v>289</v>
      </c>
      <c r="CP83" s="41" t="s">
        <v>123</v>
      </c>
      <c r="CQ83" s="41">
        <f t="shared" si="41"/>
        <v>0.22109999999999999</v>
      </c>
      <c r="CR83" s="41">
        <f t="shared" si="42"/>
        <v>0.17739999999999997</v>
      </c>
      <c r="CS83" s="41">
        <f t="shared" si="43"/>
        <v>0.26489999999999997</v>
      </c>
      <c r="CV83" s="41" t="s">
        <v>290</v>
      </c>
      <c r="CW83" s="41" t="s">
        <v>297</v>
      </c>
      <c r="CX83" s="41">
        <v>22.11</v>
      </c>
      <c r="CY83" s="41">
        <v>17.739999999999998</v>
      </c>
      <c r="CZ83" s="41">
        <v>26.49</v>
      </c>
    </row>
    <row r="84" spans="1:104" x14ac:dyDescent="0.2">
      <c r="A84" s="43">
        <v>2010</v>
      </c>
      <c r="B84" s="43" t="s">
        <v>325</v>
      </c>
      <c r="C84" s="43" t="s">
        <v>43</v>
      </c>
      <c r="D84" s="43" t="s">
        <v>116</v>
      </c>
      <c r="E84" s="43">
        <v>0.17600000000000002</v>
      </c>
      <c r="F84" s="44">
        <v>0.25</v>
      </c>
      <c r="G84" s="43">
        <v>1272.1835049715901</v>
      </c>
      <c r="O84" s="41">
        <f t="shared" si="26"/>
        <v>0</v>
      </c>
      <c r="P84" s="41" t="str">
        <f t="shared" si="27"/>
        <v>Female</v>
      </c>
      <c r="Q84" s="41" t="s">
        <v>116</v>
      </c>
      <c r="R84" s="41">
        <f t="shared" si="55"/>
        <v>17.600000000000001</v>
      </c>
      <c r="S84" s="41">
        <f t="shared" si="44"/>
        <v>15.7</v>
      </c>
      <c r="T84" s="41">
        <f t="shared" si="45"/>
        <v>19.5</v>
      </c>
      <c r="U84" s="41">
        <v>0.17600000000000002</v>
      </c>
      <c r="V84" s="41">
        <v>0.157</v>
      </c>
      <c r="W84" s="41">
        <v>0.19500000000000001</v>
      </c>
      <c r="X84" s="41">
        <v>377.71012911642998</v>
      </c>
      <c r="Y84" s="41">
        <f t="shared" si="46"/>
        <v>66.476982724491677</v>
      </c>
      <c r="Z84" s="41">
        <f t="shared" si="47"/>
        <v>311.23314639193831</v>
      </c>
      <c r="AA84" s="41">
        <f t="shared" si="48"/>
        <v>0.17599999999999999</v>
      </c>
      <c r="AB84" s="41">
        <f t="shared" si="49"/>
        <v>0.1754277907081743</v>
      </c>
      <c r="AC84" s="41">
        <f t="shared" si="50"/>
        <v>0.13931704199763661</v>
      </c>
      <c r="AD84" s="41">
        <f t="shared" si="51"/>
        <v>0.21593150510465764</v>
      </c>
      <c r="AE84" s="41">
        <f t="shared" si="52"/>
        <v>2.7755575615628914E-15</v>
      </c>
      <c r="AF84" s="41">
        <f t="shared" si="53"/>
        <v>1.7682958002363387</v>
      </c>
      <c r="AG84" s="41">
        <f t="shared" si="54"/>
        <v>-2.0931505104657635</v>
      </c>
      <c r="CM84" s="41">
        <v>2015</v>
      </c>
      <c r="CN84" s="41" t="s">
        <v>210</v>
      </c>
      <c r="CO84" s="41" t="s">
        <v>289</v>
      </c>
      <c r="CP84" s="41" t="s">
        <v>124</v>
      </c>
      <c r="CQ84" s="41">
        <f t="shared" si="41"/>
        <v>0.17489999999999997</v>
      </c>
      <c r="CR84" s="41">
        <f t="shared" si="42"/>
        <v>0.12859999999999999</v>
      </c>
      <c r="CS84" s="41">
        <f t="shared" si="43"/>
        <v>0.22120000000000001</v>
      </c>
      <c r="CV84" s="41" t="s">
        <v>290</v>
      </c>
      <c r="CW84" s="41" t="s">
        <v>298</v>
      </c>
      <c r="CX84" s="41">
        <v>17.489999999999998</v>
      </c>
      <c r="CY84" s="41">
        <v>12.86</v>
      </c>
      <c r="CZ84" s="41">
        <v>22.12</v>
      </c>
    </row>
    <row r="85" spans="1:104" x14ac:dyDescent="0.2">
      <c r="A85" s="44">
        <v>2004</v>
      </c>
      <c r="B85" s="44" t="s">
        <v>316</v>
      </c>
      <c r="C85" s="44" t="s">
        <v>43</v>
      </c>
      <c r="D85" s="44" t="s">
        <v>116</v>
      </c>
      <c r="E85" s="44">
        <v>0.10400000000000001</v>
      </c>
      <c r="F85" s="43">
        <v>0.05</v>
      </c>
      <c r="G85" s="44">
        <v>225.42818509615401</v>
      </c>
      <c r="O85" s="41">
        <f t="shared" si="26"/>
        <v>0</v>
      </c>
      <c r="P85" s="41" t="str">
        <f t="shared" si="27"/>
        <v>Female</v>
      </c>
      <c r="Q85" s="41" t="s">
        <v>116</v>
      </c>
      <c r="R85" s="41">
        <f t="shared" si="55"/>
        <v>10.4</v>
      </c>
      <c r="S85" s="41">
        <f t="shared" si="44"/>
        <v>6.6000000000000005</v>
      </c>
      <c r="T85" s="41">
        <f t="shared" si="45"/>
        <v>14.2</v>
      </c>
      <c r="U85" s="41">
        <v>0.10400000000000001</v>
      </c>
      <c r="V85" s="41">
        <v>6.6000000000000003E-2</v>
      </c>
      <c r="W85" s="41">
        <v>0.14199999999999999</v>
      </c>
      <c r="X85" s="41">
        <v>377.71012911642998</v>
      </c>
      <c r="Y85" s="41">
        <f t="shared" si="46"/>
        <v>39.281853428108718</v>
      </c>
      <c r="Z85" s="41">
        <f t="shared" si="47"/>
        <v>338.42827568832126</v>
      </c>
      <c r="AA85" s="41">
        <f t="shared" si="48"/>
        <v>0.104</v>
      </c>
      <c r="AB85" s="41">
        <f t="shared" si="49"/>
        <v>0.1033010616709054</v>
      </c>
      <c r="AC85" s="41">
        <f t="shared" si="50"/>
        <v>7.5304274314963948E-2</v>
      </c>
      <c r="AD85" s="41">
        <f t="shared" si="51"/>
        <v>0.1366632184508938</v>
      </c>
      <c r="AE85" s="41">
        <f t="shared" si="52"/>
        <v>1.3877787807814457E-15</v>
      </c>
      <c r="AF85" s="41">
        <f t="shared" si="53"/>
        <v>-0.93042743149639451</v>
      </c>
      <c r="AG85" s="41">
        <f t="shared" si="54"/>
        <v>0.53367815491061898</v>
      </c>
      <c r="CM85" s="41">
        <v>2015</v>
      </c>
      <c r="CN85" s="41" t="s">
        <v>210</v>
      </c>
      <c r="CO85" s="41" t="s">
        <v>289</v>
      </c>
      <c r="CP85" s="41" t="s">
        <v>127</v>
      </c>
      <c r="CQ85" s="41">
        <f t="shared" si="41"/>
        <v>0.14529999999999998</v>
      </c>
      <c r="CR85" s="41">
        <f t="shared" si="42"/>
        <v>0.1011</v>
      </c>
      <c r="CS85" s="41">
        <f t="shared" si="43"/>
        <v>0.18960000000000002</v>
      </c>
      <c r="CV85" s="41" t="s">
        <v>290</v>
      </c>
      <c r="CW85" s="41" t="s">
        <v>299</v>
      </c>
      <c r="CX85" s="41">
        <v>14.53</v>
      </c>
      <c r="CY85" s="41">
        <v>10.11</v>
      </c>
      <c r="CZ85" s="41">
        <v>18.96</v>
      </c>
    </row>
    <row r="86" spans="1:104" x14ac:dyDescent="0.2">
      <c r="A86" s="43">
        <v>2004</v>
      </c>
      <c r="B86" s="43" t="s">
        <v>317</v>
      </c>
      <c r="C86" s="43" t="s">
        <v>43</v>
      </c>
      <c r="D86" s="43" t="s">
        <v>116</v>
      </c>
      <c r="E86" s="43">
        <v>6.6000000000000003E-2</v>
      </c>
      <c r="F86" s="43">
        <v>0.05</v>
      </c>
      <c r="G86" s="43">
        <v>657.99708510890196</v>
      </c>
      <c r="O86" s="41">
        <f t="shared" si="26"/>
        <v>0</v>
      </c>
      <c r="P86" s="41" t="str">
        <f t="shared" si="27"/>
        <v>Female</v>
      </c>
      <c r="Q86" s="41" t="s">
        <v>116</v>
      </c>
      <c r="R86" s="41">
        <f t="shared" si="55"/>
        <v>6.6000000000000005</v>
      </c>
      <c r="S86" s="41">
        <f t="shared" si="44"/>
        <v>4.7</v>
      </c>
      <c r="T86" s="41">
        <f t="shared" si="45"/>
        <v>8.4</v>
      </c>
      <c r="U86" s="41">
        <v>6.6000000000000003E-2</v>
      </c>
      <c r="V86" s="41">
        <v>4.7E-2</v>
      </c>
      <c r="W86" s="41">
        <v>8.4000000000000005E-2</v>
      </c>
      <c r="X86" s="41">
        <v>377.71012911642998</v>
      </c>
      <c r="Y86" s="41">
        <f t="shared" si="46"/>
        <v>24.928868521684379</v>
      </c>
      <c r="Z86" s="41">
        <f t="shared" si="47"/>
        <v>352.78126059474556</v>
      </c>
      <c r="AA86" s="41">
        <f t="shared" si="48"/>
        <v>6.6000000000000003E-2</v>
      </c>
      <c r="AB86" s="41">
        <f t="shared" si="49"/>
        <v>6.5234670152798449E-2</v>
      </c>
      <c r="AC86" s="41">
        <f t="shared" si="50"/>
        <v>4.3250176670345163E-2</v>
      </c>
      <c r="AD86" s="41">
        <f t="shared" si="51"/>
        <v>9.3093360880002751E-2</v>
      </c>
      <c r="AE86" s="41">
        <f t="shared" si="52"/>
        <v>0</v>
      </c>
      <c r="AF86" s="41">
        <f t="shared" si="53"/>
        <v>0.37498233296548378</v>
      </c>
      <c r="AG86" s="41">
        <f t="shared" si="54"/>
        <v>-0.90933608800027454</v>
      </c>
      <c r="CM86" s="41">
        <v>2015</v>
      </c>
      <c r="CN86" s="41" t="s">
        <v>210</v>
      </c>
      <c r="CO86" s="41" t="s">
        <v>289</v>
      </c>
      <c r="CP86" s="41" t="s">
        <v>215</v>
      </c>
      <c r="CQ86" s="41">
        <f t="shared" si="41"/>
        <v>0.10580000000000001</v>
      </c>
      <c r="CR86" s="41">
        <f t="shared" si="42"/>
        <v>6.3E-2</v>
      </c>
      <c r="CS86" s="41">
        <f t="shared" si="43"/>
        <v>0.14859999999999998</v>
      </c>
      <c r="CV86" s="41" t="s">
        <v>290</v>
      </c>
      <c r="CW86" s="41" t="s">
        <v>300</v>
      </c>
      <c r="CX86" s="41">
        <v>10.58</v>
      </c>
      <c r="CY86" s="41">
        <v>6.3</v>
      </c>
      <c r="CZ86" s="41">
        <v>14.86</v>
      </c>
    </row>
    <row r="87" spans="1:104" x14ac:dyDescent="0.2">
      <c r="A87" s="44">
        <v>2004</v>
      </c>
      <c r="B87" s="44" t="s">
        <v>325</v>
      </c>
      <c r="C87" s="44" t="s">
        <v>43</v>
      </c>
      <c r="D87" s="44" t="s">
        <v>116</v>
      </c>
      <c r="E87" s="44">
        <v>0.19800000000000001</v>
      </c>
      <c r="F87" s="43">
        <v>0.05</v>
      </c>
      <c r="G87" s="44">
        <v>925.01035748106096</v>
      </c>
      <c r="I87" s="41" t="s">
        <v>285</v>
      </c>
      <c r="O87" s="41">
        <f t="shared" si="26"/>
        <v>0</v>
      </c>
      <c r="P87" s="41" t="str">
        <f t="shared" si="27"/>
        <v>Female</v>
      </c>
      <c r="Q87" s="41" t="s">
        <v>116</v>
      </c>
      <c r="R87" s="41">
        <f t="shared" si="55"/>
        <v>19.8</v>
      </c>
      <c r="S87" s="41">
        <f t="shared" si="44"/>
        <v>17.5</v>
      </c>
      <c r="T87" s="41">
        <f t="shared" si="45"/>
        <v>22.1</v>
      </c>
      <c r="U87" s="41">
        <v>0.19800000000000001</v>
      </c>
      <c r="V87" s="41">
        <v>0.17499999999999999</v>
      </c>
      <c r="W87" s="41">
        <v>0.221</v>
      </c>
      <c r="X87" s="41">
        <v>377.71012911642998</v>
      </c>
      <c r="Y87" s="41">
        <f t="shared" si="46"/>
        <v>74.786605565053137</v>
      </c>
      <c r="Z87" s="41">
        <f t="shared" si="47"/>
        <v>302.92352355137689</v>
      </c>
      <c r="AA87" s="41">
        <f t="shared" si="48"/>
        <v>0.19799999999999998</v>
      </c>
      <c r="AB87" s="41">
        <f t="shared" si="49"/>
        <v>0.19746659368710906</v>
      </c>
      <c r="AC87" s="41">
        <f t="shared" si="50"/>
        <v>0.15942374558851244</v>
      </c>
      <c r="AD87" s="41">
        <f t="shared" si="51"/>
        <v>0.23960457085583275</v>
      </c>
      <c r="AE87" s="41">
        <f t="shared" si="52"/>
        <v>2.7755575615628914E-15</v>
      </c>
      <c r="AF87" s="41">
        <f t="shared" si="53"/>
        <v>1.5576254411487551</v>
      </c>
      <c r="AG87" s="41">
        <f t="shared" si="54"/>
        <v>-1.8604570855832754</v>
      </c>
      <c r="CM87" s="41">
        <v>2015</v>
      </c>
      <c r="CN87" s="41" t="s">
        <v>210</v>
      </c>
      <c r="CO87" s="41" t="s">
        <v>301</v>
      </c>
      <c r="CP87" s="41" t="s">
        <v>117</v>
      </c>
      <c r="CQ87" s="41">
        <f t="shared" si="41"/>
        <v>2.0099999999999996E-2</v>
      </c>
      <c r="CR87" s="41">
        <f t="shared" si="42"/>
        <v>1.18E-2</v>
      </c>
      <c r="CS87" s="41">
        <f t="shared" si="43"/>
        <v>2.8300000000000002E-2</v>
      </c>
      <c r="CV87" s="41" t="s">
        <v>290</v>
      </c>
      <c r="CW87" s="41" t="s">
        <v>291</v>
      </c>
      <c r="CX87" s="41">
        <v>2.0099999999999998</v>
      </c>
      <c r="CY87" s="41">
        <v>1.18</v>
      </c>
      <c r="CZ87" s="41">
        <v>2.83</v>
      </c>
    </row>
    <row r="88" spans="1:104" x14ac:dyDescent="0.2">
      <c r="A88" s="44">
        <v>2015</v>
      </c>
      <c r="B88" s="44" t="s">
        <v>316</v>
      </c>
      <c r="C88" s="44" t="s">
        <v>44</v>
      </c>
      <c r="D88" s="44" t="s">
        <v>116</v>
      </c>
      <c r="E88" s="44">
        <v>4.5999999999999999E-2</v>
      </c>
      <c r="F88" s="43">
        <v>0.05</v>
      </c>
      <c r="G88" s="44">
        <v>608.85752802309798</v>
      </c>
      <c r="O88" s="41">
        <f t="shared" si="26"/>
        <v>0</v>
      </c>
      <c r="P88" s="41" t="str">
        <f t="shared" si="27"/>
        <v>Male</v>
      </c>
      <c r="Q88" s="41" t="s">
        <v>116</v>
      </c>
      <c r="R88" s="41">
        <f t="shared" si="55"/>
        <v>4.5999999999999996</v>
      </c>
      <c r="S88" s="41">
        <f t="shared" si="44"/>
        <v>2.9</v>
      </c>
      <c r="T88" s="41">
        <f t="shared" si="45"/>
        <v>6.2</v>
      </c>
      <c r="U88" s="41">
        <v>4.5999999999999999E-2</v>
      </c>
      <c r="V88" s="41">
        <v>2.8999999999999998E-2</v>
      </c>
      <c r="W88" s="41">
        <v>6.2E-2</v>
      </c>
      <c r="X88" s="41">
        <v>377.71012911642998</v>
      </c>
      <c r="Y88" s="41">
        <f t="shared" si="46"/>
        <v>17.374665939355779</v>
      </c>
      <c r="Z88" s="41">
        <f t="shared" si="47"/>
        <v>360.33546317707419</v>
      </c>
      <c r="AA88" s="41">
        <f t="shared" si="48"/>
        <v>4.5999999999999999E-2</v>
      </c>
      <c r="AB88" s="41">
        <f t="shared" si="49"/>
        <v>4.5200259661624713E-2</v>
      </c>
      <c r="AC88" s="41">
        <f t="shared" si="50"/>
        <v>2.7273054894645633E-2</v>
      </c>
      <c r="AD88" s="41">
        <f t="shared" si="51"/>
        <v>6.9264733029956616E-2</v>
      </c>
      <c r="AE88" s="41">
        <f t="shared" si="52"/>
        <v>0</v>
      </c>
      <c r="AF88" s="41">
        <f t="shared" si="53"/>
        <v>0.17269451053543647</v>
      </c>
      <c r="AG88" s="41">
        <f t="shared" si="54"/>
        <v>-0.7264733029956616</v>
      </c>
      <c r="CM88" s="41">
        <v>2015</v>
      </c>
      <c r="CN88" s="41" t="s">
        <v>210</v>
      </c>
      <c r="CO88" s="41" t="s">
        <v>301</v>
      </c>
      <c r="CP88" s="41" t="s">
        <v>118</v>
      </c>
      <c r="CQ88" s="41">
        <f t="shared" si="41"/>
        <v>5.1699999999999996E-2</v>
      </c>
      <c r="CR88" s="41">
        <f t="shared" si="42"/>
        <v>3.9599999999999996E-2</v>
      </c>
      <c r="CS88" s="41">
        <f t="shared" si="43"/>
        <v>6.3899999999999998E-2</v>
      </c>
      <c r="CV88" s="41" t="s">
        <v>290</v>
      </c>
      <c r="CW88" s="41" t="s">
        <v>292</v>
      </c>
      <c r="CX88" s="41">
        <v>5.17</v>
      </c>
      <c r="CY88" s="41">
        <v>3.96</v>
      </c>
      <c r="CZ88" s="41">
        <v>6.39</v>
      </c>
    </row>
    <row r="89" spans="1:104" x14ac:dyDescent="0.2">
      <c r="A89" s="43">
        <v>2015</v>
      </c>
      <c r="B89" s="43" t="s">
        <v>317</v>
      </c>
      <c r="C89" s="43" t="s">
        <v>44</v>
      </c>
      <c r="D89" s="43" t="s">
        <v>116</v>
      </c>
      <c r="E89" s="43">
        <v>4.4000000000000004E-2</v>
      </c>
      <c r="F89" s="43">
        <v>0.05</v>
      </c>
      <c r="G89" s="43">
        <v>801.11361416903401</v>
      </c>
      <c r="O89" s="41">
        <f t="shared" si="26"/>
        <v>0</v>
      </c>
      <c r="P89" s="41" t="str">
        <f t="shared" si="27"/>
        <v>Male</v>
      </c>
      <c r="Q89" s="41" t="s">
        <v>116</v>
      </c>
      <c r="R89" s="41">
        <f t="shared" si="55"/>
        <v>4.4000000000000004</v>
      </c>
      <c r="S89" s="41">
        <f t="shared" si="44"/>
        <v>3</v>
      </c>
      <c r="T89" s="41">
        <f t="shared" si="45"/>
        <v>5.8</v>
      </c>
      <c r="U89" s="41">
        <v>4.4000000000000004E-2</v>
      </c>
      <c r="V89" s="41">
        <v>0.03</v>
      </c>
      <c r="W89" s="41">
        <v>5.7999999999999996E-2</v>
      </c>
      <c r="X89" s="41">
        <v>377.71012911642998</v>
      </c>
      <c r="Y89" s="41">
        <f t="shared" si="46"/>
        <v>16.619245681122919</v>
      </c>
      <c r="Z89" s="41">
        <f t="shared" si="47"/>
        <v>361.09088343530703</v>
      </c>
      <c r="AA89" s="41">
        <f t="shared" si="48"/>
        <v>4.4000000000000004E-2</v>
      </c>
      <c r="AB89" s="41">
        <f t="shared" si="49"/>
        <v>4.3196866943611308E-2</v>
      </c>
      <c r="AC89" s="41">
        <f t="shared" si="50"/>
        <v>2.5727196374272409E-2</v>
      </c>
      <c r="AD89" s="41">
        <f t="shared" si="51"/>
        <v>6.6829683662227635E-2</v>
      </c>
      <c r="AE89" s="41">
        <f t="shared" si="52"/>
        <v>0</v>
      </c>
      <c r="AF89" s="41">
        <f t="shared" si="53"/>
        <v>0.42728036257275898</v>
      </c>
      <c r="AG89" s="41">
        <f t="shared" si="54"/>
        <v>-0.88296836622276387</v>
      </c>
      <c r="CM89" s="41">
        <v>2015</v>
      </c>
      <c r="CN89" s="41" t="s">
        <v>210</v>
      </c>
      <c r="CO89" s="41" t="s">
        <v>301</v>
      </c>
      <c r="CP89" s="41" t="s">
        <v>119</v>
      </c>
      <c r="CQ89" s="41">
        <f t="shared" si="41"/>
        <v>0.1361</v>
      </c>
      <c r="CR89" s="41">
        <f t="shared" si="42"/>
        <v>0.11380000000000001</v>
      </c>
      <c r="CS89" s="41">
        <f t="shared" si="43"/>
        <v>0.1585</v>
      </c>
      <c r="CV89" s="41" t="s">
        <v>290</v>
      </c>
      <c r="CW89" s="41" t="s">
        <v>293</v>
      </c>
      <c r="CX89" s="41">
        <v>13.61</v>
      </c>
      <c r="CY89" s="41">
        <v>11.38</v>
      </c>
      <c r="CZ89" s="41">
        <v>15.85</v>
      </c>
    </row>
    <row r="90" spans="1:104" x14ac:dyDescent="0.2">
      <c r="A90" s="44">
        <v>2015</v>
      </c>
      <c r="B90" s="44" t="s">
        <v>325</v>
      </c>
      <c r="C90" s="44" t="s">
        <v>44</v>
      </c>
      <c r="D90" s="44" t="s">
        <v>116</v>
      </c>
      <c r="E90" s="44">
        <v>9.1999999999999998E-2</v>
      </c>
      <c r="F90" s="43">
        <v>0.05</v>
      </c>
      <c r="G90" s="44">
        <v>1610.7920771059801</v>
      </c>
      <c r="O90" s="41">
        <f t="shared" si="26"/>
        <v>0</v>
      </c>
      <c r="P90" s="41" t="str">
        <f t="shared" si="27"/>
        <v>Male</v>
      </c>
      <c r="Q90" s="41" t="s">
        <v>116</v>
      </c>
      <c r="R90" s="41">
        <f t="shared" si="55"/>
        <v>9.1999999999999993</v>
      </c>
      <c r="S90" s="41">
        <f t="shared" si="44"/>
        <v>7.8</v>
      </c>
      <c r="T90" s="41">
        <f t="shared" si="45"/>
        <v>10.5</v>
      </c>
      <c r="U90" s="41">
        <v>9.1999999999999998E-2</v>
      </c>
      <c r="V90" s="41">
        <v>7.8E-2</v>
      </c>
      <c r="W90" s="41">
        <v>0.105</v>
      </c>
      <c r="X90" s="41">
        <v>377.71012911642998</v>
      </c>
      <c r="Y90" s="41">
        <f t="shared" si="46"/>
        <v>34.749331878711558</v>
      </c>
      <c r="Z90" s="41">
        <f t="shared" si="47"/>
        <v>342.96079723771845</v>
      </c>
      <c r="AA90" s="41">
        <f t="shared" si="48"/>
        <v>9.1999999999999985E-2</v>
      </c>
      <c r="AB90" s="41">
        <f t="shared" si="49"/>
        <v>9.1280025086110467E-2</v>
      </c>
      <c r="AC90" s="41">
        <f t="shared" si="50"/>
        <v>6.5003783064775764E-2</v>
      </c>
      <c r="AD90" s="41">
        <f t="shared" si="51"/>
        <v>0.12308294879336679</v>
      </c>
      <c r="AE90" s="41">
        <f t="shared" si="52"/>
        <v>1.3877787807814457E-15</v>
      </c>
      <c r="AF90" s="41">
        <f t="shared" si="53"/>
        <v>1.2996216935224236</v>
      </c>
      <c r="AG90" s="41">
        <f t="shared" si="54"/>
        <v>-1.8082948793366791</v>
      </c>
      <c r="CM90" s="41">
        <v>2015</v>
      </c>
      <c r="CN90" s="41" t="s">
        <v>210</v>
      </c>
      <c r="CO90" s="41" t="s">
        <v>301</v>
      </c>
      <c r="CP90" s="41" t="s">
        <v>120</v>
      </c>
      <c r="CQ90" s="41">
        <f t="shared" si="41"/>
        <v>0.17460000000000001</v>
      </c>
      <c r="CR90" s="41">
        <f t="shared" si="42"/>
        <v>0.14990000000000001</v>
      </c>
      <c r="CS90" s="41">
        <f t="shared" si="43"/>
        <v>0.1993</v>
      </c>
      <c r="CV90" s="41" t="s">
        <v>290</v>
      </c>
      <c r="CW90" s="41" t="s">
        <v>294</v>
      </c>
      <c r="CX90" s="41">
        <v>17.46</v>
      </c>
      <c r="CY90" s="41">
        <v>14.99</v>
      </c>
      <c r="CZ90" s="41">
        <v>19.93</v>
      </c>
    </row>
    <row r="91" spans="1:104" x14ac:dyDescent="0.2">
      <c r="A91" s="43">
        <v>2010</v>
      </c>
      <c r="B91" s="43" t="s">
        <v>316</v>
      </c>
      <c r="C91" s="43" t="s">
        <v>44</v>
      </c>
      <c r="D91" s="43" t="s">
        <v>116</v>
      </c>
      <c r="E91" s="43">
        <v>4.8000000000000001E-2</v>
      </c>
      <c r="F91" s="43">
        <v>0.05</v>
      </c>
      <c r="G91" s="43">
        <v>527.30712890625</v>
      </c>
      <c r="O91" s="41">
        <f t="shared" si="26"/>
        <v>0</v>
      </c>
      <c r="P91" s="41" t="str">
        <f t="shared" si="27"/>
        <v>Male</v>
      </c>
      <c r="Q91" s="41" t="s">
        <v>116</v>
      </c>
      <c r="R91" s="41">
        <f t="shared" si="55"/>
        <v>4.8</v>
      </c>
      <c r="S91" s="41">
        <f t="shared" si="44"/>
        <v>3</v>
      </c>
      <c r="T91" s="41">
        <f t="shared" si="45"/>
        <v>6.6000000000000005</v>
      </c>
      <c r="U91" s="41">
        <v>4.8000000000000001E-2</v>
      </c>
      <c r="V91" s="41">
        <v>0.03</v>
      </c>
      <c r="W91" s="41">
        <v>6.6000000000000003E-2</v>
      </c>
      <c r="X91" s="41">
        <v>377.71012911642998</v>
      </c>
      <c r="Y91" s="41">
        <f t="shared" si="46"/>
        <v>18.130086197588639</v>
      </c>
      <c r="Z91" s="41">
        <f t="shared" si="47"/>
        <v>359.58004291884134</v>
      </c>
      <c r="AA91" s="41">
        <f t="shared" si="48"/>
        <v>4.8000000000000001E-2</v>
      </c>
      <c r="AB91" s="41">
        <f t="shared" si="49"/>
        <v>4.720366452656416E-2</v>
      </c>
      <c r="AC91" s="41">
        <f t="shared" si="50"/>
        <v>2.8829981384114418E-2</v>
      </c>
      <c r="AD91" s="41">
        <f t="shared" si="51"/>
        <v>7.1688630759024985E-2</v>
      </c>
      <c r="AE91" s="41">
        <f t="shared" si="52"/>
        <v>0</v>
      </c>
      <c r="AF91" s="41">
        <f t="shared" si="53"/>
        <v>0.11700186158855805</v>
      </c>
      <c r="AG91" s="41">
        <f t="shared" si="54"/>
        <v>-0.56886307590249818</v>
      </c>
      <c r="CM91" s="41">
        <v>2015</v>
      </c>
      <c r="CN91" s="41" t="s">
        <v>210</v>
      </c>
      <c r="CO91" s="41" t="s">
        <v>301</v>
      </c>
      <c r="CP91" s="41" t="s">
        <v>121</v>
      </c>
      <c r="CQ91" s="41">
        <f t="shared" si="41"/>
        <v>0.22109999999999999</v>
      </c>
      <c r="CR91" s="41">
        <f t="shared" si="42"/>
        <v>0.193</v>
      </c>
      <c r="CS91" s="41">
        <f t="shared" si="43"/>
        <v>0.2492</v>
      </c>
      <c r="CV91" s="41" t="s">
        <v>290</v>
      </c>
      <c r="CW91" s="41" t="s">
        <v>295</v>
      </c>
      <c r="CX91" s="41">
        <v>22.11</v>
      </c>
      <c r="CY91" s="41">
        <v>19.3</v>
      </c>
      <c r="CZ91" s="41">
        <v>24.92</v>
      </c>
    </row>
    <row r="92" spans="1:104" x14ac:dyDescent="0.2">
      <c r="A92" s="44">
        <v>2010</v>
      </c>
      <c r="B92" s="44" t="s">
        <v>317</v>
      </c>
      <c r="C92" s="44" t="s">
        <v>44</v>
      </c>
      <c r="D92" s="44" t="s">
        <v>116</v>
      </c>
      <c r="E92" s="44">
        <v>6.2E-2</v>
      </c>
      <c r="F92" s="43">
        <v>0.05</v>
      </c>
      <c r="G92" s="44">
        <v>733.18186113911304</v>
      </c>
      <c r="O92" s="41">
        <f t="shared" si="26"/>
        <v>0</v>
      </c>
      <c r="P92" s="41" t="str">
        <f t="shared" si="27"/>
        <v>Male</v>
      </c>
      <c r="Q92" s="41" t="s">
        <v>116</v>
      </c>
      <c r="R92" s="41">
        <f t="shared" si="55"/>
        <v>6.2</v>
      </c>
      <c r="S92" s="41">
        <f t="shared" si="44"/>
        <v>4.5</v>
      </c>
      <c r="T92" s="41">
        <f t="shared" si="45"/>
        <v>7.9</v>
      </c>
      <c r="U92" s="41">
        <v>6.2E-2</v>
      </c>
      <c r="V92" s="41">
        <v>4.4999999999999998E-2</v>
      </c>
      <c r="W92" s="41">
        <v>7.9000000000000001E-2</v>
      </c>
      <c r="X92" s="41">
        <v>377.71012911642998</v>
      </c>
      <c r="Y92" s="41">
        <f t="shared" si="46"/>
        <v>23.418028005218659</v>
      </c>
      <c r="Z92" s="41">
        <f t="shared" si="47"/>
        <v>354.29210111121131</v>
      </c>
      <c r="AA92" s="41">
        <f t="shared" si="48"/>
        <v>6.2E-2</v>
      </c>
      <c r="AB92" s="41">
        <f t="shared" si="49"/>
        <v>6.1227738472591407E-2</v>
      </c>
      <c r="AC92" s="41">
        <f t="shared" si="50"/>
        <v>3.9990491929328693E-2</v>
      </c>
      <c r="AD92" s="41">
        <f t="shared" si="51"/>
        <v>8.8392237256875728E-2</v>
      </c>
      <c r="AE92" s="41">
        <f t="shared" si="52"/>
        <v>0</v>
      </c>
      <c r="AF92" s="41">
        <f t="shared" si="53"/>
        <v>0.50095080706713047</v>
      </c>
      <c r="AG92" s="41">
        <f t="shared" si="54"/>
        <v>-0.93922372568757262</v>
      </c>
      <c r="CM92" s="41">
        <v>2015</v>
      </c>
      <c r="CN92" s="41" t="s">
        <v>210</v>
      </c>
      <c r="CO92" s="41" t="s">
        <v>301</v>
      </c>
      <c r="CP92" s="41" t="s">
        <v>122</v>
      </c>
      <c r="CQ92" s="41">
        <f t="shared" si="41"/>
        <v>0.24559999999999998</v>
      </c>
      <c r="CR92" s="41">
        <f t="shared" si="42"/>
        <v>0.20730000000000001</v>
      </c>
      <c r="CS92" s="41">
        <f t="shared" si="43"/>
        <v>0.2838</v>
      </c>
      <c r="CV92" s="41" t="s">
        <v>290</v>
      </c>
      <c r="CW92" s="41" t="s">
        <v>296</v>
      </c>
      <c r="CX92" s="41">
        <v>24.56</v>
      </c>
      <c r="CY92" s="41">
        <v>20.73</v>
      </c>
      <c r="CZ92" s="41">
        <v>28.38</v>
      </c>
    </row>
    <row r="93" spans="1:104" x14ac:dyDescent="0.2">
      <c r="A93" s="43">
        <v>2010</v>
      </c>
      <c r="B93" s="43" t="s">
        <v>325</v>
      </c>
      <c r="C93" s="43" t="s">
        <v>44</v>
      </c>
      <c r="D93" s="43" t="s">
        <v>116</v>
      </c>
      <c r="E93" s="43">
        <v>0.11</v>
      </c>
      <c r="F93" s="43">
        <v>0.05</v>
      </c>
      <c r="G93" s="43">
        <v>1401.68678977273</v>
      </c>
      <c r="O93" s="41">
        <f t="shared" si="26"/>
        <v>0</v>
      </c>
      <c r="P93" s="41" t="str">
        <f t="shared" si="27"/>
        <v>Male</v>
      </c>
      <c r="Q93" s="41" t="s">
        <v>116</v>
      </c>
      <c r="R93" s="41">
        <f t="shared" si="55"/>
        <v>11</v>
      </c>
      <c r="S93" s="41">
        <f t="shared" si="44"/>
        <v>9.4</v>
      </c>
      <c r="T93" s="41">
        <f t="shared" si="45"/>
        <v>12.5</v>
      </c>
      <c r="U93" s="41">
        <v>0.11</v>
      </c>
      <c r="V93" s="41">
        <v>9.4E-2</v>
      </c>
      <c r="W93" s="41">
        <v>0.125</v>
      </c>
      <c r="X93" s="41">
        <v>377.71012911642998</v>
      </c>
      <c r="Y93" s="41">
        <f t="shared" si="46"/>
        <v>41.548114202807298</v>
      </c>
      <c r="Z93" s="41">
        <f t="shared" si="47"/>
        <v>336.16201491362267</v>
      </c>
      <c r="AA93" s="41">
        <f t="shared" si="48"/>
        <v>0.11</v>
      </c>
      <c r="AB93" s="41">
        <f t="shared" si="49"/>
        <v>0.10931159458363811</v>
      </c>
      <c r="AC93" s="41">
        <f t="shared" si="50"/>
        <v>8.0503920585126607E-2</v>
      </c>
      <c r="AD93" s="41">
        <f t="shared" si="51"/>
        <v>0.1434038518919627</v>
      </c>
      <c r="AE93" s="41">
        <f t="shared" si="52"/>
        <v>0</v>
      </c>
      <c r="AF93" s="41">
        <f t="shared" si="53"/>
        <v>1.3496079414873394</v>
      </c>
      <c r="AG93" s="41">
        <f t="shared" si="54"/>
        <v>-1.8403851891962697</v>
      </c>
      <c r="CM93" s="41">
        <v>2015</v>
      </c>
      <c r="CN93" s="41" t="s">
        <v>210</v>
      </c>
      <c r="CO93" s="41" t="s">
        <v>301</v>
      </c>
      <c r="CP93" s="41" t="s">
        <v>123</v>
      </c>
      <c r="CQ93" s="41">
        <f t="shared" si="41"/>
        <v>0.2026</v>
      </c>
      <c r="CR93" s="41">
        <f t="shared" si="42"/>
        <v>0.1628</v>
      </c>
      <c r="CS93" s="41">
        <f t="shared" si="43"/>
        <v>0.24230000000000002</v>
      </c>
      <c r="CV93" s="41" t="s">
        <v>290</v>
      </c>
      <c r="CW93" s="41" t="s">
        <v>297</v>
      </c>
      <c r="CX93" s="41">
        <v>20.260000000000002</v>
      </c>
      <c r="CY93" s="41">
        <v>16.28</v>
      </c>
      <c r="CZ93" s="41">
        <v>24.23</v>
      </c>
    </row>
    <row r="94" spans="1:104" x14ac:dyDescent="0.2">
      <c r="A94" s="44">
        <v>2004</v>
      </c>
      <c r="B94" s="44" t="s">
        <v>316</v>
      </c>
      <c r="C94" s="44" t="s">
        <v>44</v>
      </c>
      <c r="D94" s="44" t="s">
        <v>116</v>
      </c>
      <c r="E94" s="44">
        <v>5.4000000000000006E-2</v>
      </c>
      <c r="F94" s="43">
        <v>0.05</v>
      </c>
      <c r="G94" s="44">
        <v>332.10765697338002</v>
      </c>
      <c r="O94" s="41">
        <f t="shared" si="26"/>
        <v>0</v>
      </c>
      <c r="P94" s="41" t="str">
        <f t="shared" si="27"/>
        <v>Male</v>
      </c>
      <c r="Q94" s="41" t="s">
        <v>116</v>
      </c>
      <c r="R94" s="41">
        <f t="shared" si="55"/>
        <v>5.4</v>
      </c>
      <c r="S94" s="41">
        <f t="shared" si="44"/>
        <v>3</v>
      </c>
      <c r="T94" s="41">
        <f t="shared" si="45"/>
        <v>7.8</v>
      </c>
      <c r="U94" s="41">
        <v>5.4000000000000006E-2</v>
      </c>
      <c r="V94" s="41">
        <v>0.03</v>
      </c>
      <c r="W94" s="41">
        <v>7.8E-2</v>
      </c>
      <c r="X94" s="41">
        <v>377.71012911642998</v>
      </c>
      <c r="Y94" s="41">
        <f t="shared" si="46"/>
        <v>20.396346972287223</v>
      </c>
      <c r="Z94" s="41">
        <f t="shared" si="47"/>
        <v>357.31378214414275</v>
      </c>
      <c r="AA94" s="41">
        <f t="shared" si="48"/>
        <v>5.4000000000000006E-2</v>
      </c>
      <c r="AB94" s="41">
        <f t="shared" si="49"/>
        <v>5.3213938274311319E-2</v>
      </c>
      <c r="AC94" s="41">
        <f t="shared" si="50"/>
        <v>3.3560930007098186E-2</v>
      </c>
      <c r="AD94" s="41">
        <f t="shared" si="51"/>
        <v>7.8899747326051206E-2</v>
      </c>
      <c r="AE94" s="41">
        <f t="shared" si="52"/>
        <v>0</v>
      </c>
      <c r="AF94" s="41">
        <f t="shared" si="53"/>
        <v>-0.3560930007098187</v>
      </c>
      <c r="AG94" s="41">
        <f t="shared" si="54"/>
        <v>-8.9974732605120622E-2</v>
      </c>
      <c r="CM94" s="41">
        <v>2015</v>
      </c>
      <c r="CN94" s="41" t="s">
        <v>210</v>
      </c>
      <c r="CO94" s="41" t="s">
        <v>301</v>
      </c>
      <c r="CP94" s="41" t="s">
        <v>124</v>
      </c>
      <c r="CQ94" s="41">
        <f t="shared" si="41"/>
        <v>0.16420000000000001</v>
      </c>
      <c r="CR94" s="41">
        <f t="shared" si="42"/>
        <v>0.12710000000000002</v>
      </c>
      <c r="CS94" s="41">
        <f t="shared" si="43"/>
        <v>0.20129999999999998</v>
      </c>
      <c r="CV94" s="41" t="s">
        <v>290</v>
      </c>
      <c r="CW94" s="41" t="s">
        <v>298</v>
      </c>
      <c r="CX94" s="41">
        <v>16.420000000000002</v>
      </c>
      <c r="CY94" s="41">
        <v>12.71</v>
      </c>
      <c r="CZ94" s="41">
        <v>20.13</v>
      </c>
    </row>
    <row r="95" spans="1:104" x14ac:dyDescent="0.2">
      <c r="A95" s="43">
        <v>2004</v>
      </c>
      <c r="B95" s="43" t="s">
        <v>317</v>
      </c>
      <c r="C95" s="43" t="s">
        <v>44</v>
      </c>
      <c r="D95" s="43" t="s">
        <v>116</v>
      </c>
      <c r="E95" s="43">
        <v>6.4000000000000001E-2</v>
      </c>
      <c r="F95" s="43">
        <v>0.05</v>
      </c>
      <c r="G95" s="43">
        <v>326.25961303710898</v>
      </c>
      <c r="O95" s="41">
        <f t="shared" si="26"/>
        <v>0</v>
      </c>
      <c r="P95" s="41" t="str">
        <f t="shared" si="27"/>
        <v>Male</v>
      </c>
      <c r="Q95" s="41" t="s">
        <v>116</v>
      </c>
      <c r="R95" s="41">
        <f t="shared" si="55"/>
        <v>6.4</v>
      </c>
      <c r="S95" s="41">
        <f t="shared" si="44"/>
        <v>3.8</v>
      </c>
      <c r="T95" s="41">
        <f t="shared" si="45"/>
        <v>9</v>
      </c>
      <c r="U95" s="41">
        <v>6.4000000000000001E-2</v>
      </c>
      <c r="V95" s="41">
        <v>3.7999999999999999E-2</v>
      </c>
      <c r="W95" s="41">
        <v>0.09</v>
      </c>
      <c r="X95" s="41">
        <v>377.71012911642998</v>
      </c>
      <c r="Y95" s="41">
        <f t="shared" si="46"/>
        <v>24.173448263451519</v>
      </c>
      <c r="Z95" s="41">
        <f t="shared" si="47"/>
        <v>353.53668085297846</v>
      </c>
      <c r="AA95" s="41">
        <f t="shared" si="48"/>
        <v>6.4000000000000001E-2</v>
      </c>
      <c r="AB95" s="41">
        <f t="shared" si="49"/>
        <v>6.3231202098263134E-2</v>
      </c>
      <c r="AC95" s="41">
        <f t="shared" si="50"/>
        <v>4.1616872990962527E-2</v>
      </c>
      <c r="AD95" s="41">
        <f t="shared" si="51"/>
        <v>9.0746275632990869E-2</v>
      </c>
      <c r="AE95" s="41">
        <f t="shared" si="52"/>
        <v>0</v>
      </c>
      <c r="AF95" s="41">
        <f t="shared" si="53"/>
        <v>-0.36168729909625275</v>
      </c>
      <c r="AG95" s="41">
        <f t="shared" si="54"/>
        <v>-7.4627563299087263E-2</v>
      </c>
      <c r="CM95" s="41">
        <v>2015</v>
      </c>
      <c r="CN95" s="41" t="s">
        <v>210</v>
      </c>
      <c r="CO95" s="41" t="s">
        <v>301</v>
      </c>
      <c r="CP95" s="41" t="s">
        <v>127</v>
      </c>
      <c r="CQ95" s="41">
        <f t="shared" si="41"/>
        <v>0.161</v>
      </c>
      <c r="CR95" s="41">
        <f t="shared" si="42"/>
        <v>0.1153</v>
      </c>
      <c r="CS95" s="41">
        <f t="shared" si="43"/>
        <v>0.20670000000000002</v>
      </c>
      <c r="CV95" s="41" t="s">
        <v>290</v>
      </c>
      <c r="CW95" s="41" t="s">
        <v>299</v>
      </c>
      <c r="CX95" s="41">
        <v>16.100000000000001</v>
      </c>
      <c r="CY95" s="41">
        <v>11.53</v>
      </c>
      <c r="CZ95" s="41">
        <v>20.67</v>
      </c>
    </row>
    <row r="96" spans="1:104" x14ac:dyDescent="0.2">
      <c r="A96" s="44">
        <v>2004</v>
      </c>
      <c r="B96" s="44" t="s">
        <v>325</v>
      </c>
      <c r="C96" s="44" t="s">
        <v>44</v>
      </c>
      <c r="D96" s="44" t="s">
        <v>116</v>
      </c>
      <c r="E96" s="44">
        <v>0.151</v>
      </c>
      <c r="F96" s="43">
        <v>0.05</v>
      </c>
      <c r="G96" s="44">
        <v>534.52342456539702</v>
      </c>
      <c r="O96" s="41">
        <f t="shared" si="26"/>
        <v>0</v>
      </c>
      <c r="P96" s="41" t="str">
        <f t="shared" si="27"/>
        <v>Male</v>
      </c>
      <c r="Q96" s="41" t="s">
        <v>116</v>
      </c>
      <c r="R96" s="41">
        <f t="shared" si="55"/>
        <v>15.1</v>
      </c>
      <c r="S96" s="41">
        <f t="shared" si="44"/>
        <v>12.3</v>
      </c>
      <c r="T96" s="41">
        <f t="shared" si="45"/>
        <v>17.899999999999999</v>
      </c>
      <c r="U96" s="41">
        <v>0.151</v>
      </c>
      <c r="V96" s="41">
        <v>0.12300000000000001</v>
      </c>
      <c r="W96" s="41">
        <v>0.17899999999999999</v>
      </c>
      <c r="X96" s="41">
        <v>377.71012911642998</v>
      </c>
      <c r="Y96" s="41">
        <f t="shared" si="46"/>
        <v>57.034229496580927</v>
      </c>
      <c r="Z96" s="41">
        <f t="shared" si="47"/>
        <v>320.67589961984902</v>
      </c>
      <c r="AA96" s="41">
        <f t="shared" si="48"/>
        <v>0.15100000000000002</v>
      </c>
      <c r="AB96" s="41">
        <f t="shared" si="49"/>
        <v>0.15038372761408697</v>
      </c>
      <c r="AC96" s="41">
        <f t="shared" si="50"/>
        <v>0.11674017524325368</v>
      </c>
      <c r="AD96" s="41">
        <f t="shared" si="51"/>
        <v>0.18875841894617407</v>
      </c>
      <c r="AE96" s="41">
        <f t="shared" si="52"/>
        <v>-2.7755575615628914E-15</v>
      </c>
      <c r="AF96" s="41">
        <f t="shared" si="53"/>
        <v>0.62598247567463294</v>
      </c>
      <c r="AG96" s="41">
        <f t="shared" si="54"/>
        <v>-0.97584189461740745</v>
      </c>
      <c r="CM96" s="41">
        <v>2015</v>
      </c>
      <c r="CN96" s="41" t="s">
        <v>210</v>
      </c>
      <c r="CO96" s="41" t="s">
        <v>301</v>
      </c>
      <c r="CP96" s="41" t="s">
        <v>215</v>
      </c>
      <c r="CQ96" s="41">
        <f t="shared" si="41"/>
        <v>0.13880000000000001</v>
      </c>
      <c r="CR96" s="41">
        <f t="shared" si="42"/>
        <v>8.7100000000000011E-2</v>
      </c>
      <c r="CS96" s="41">
        <f t="shared" si="43"/>
        <v>0.1905</v>
      </c>
      <c r="CV96" s="41" t="s">
        <v>290</v>
      </c>
      <c r="CW96" s="41" t="s">
        <v>300</v>
      </c>
      <c r="CX96" s="41">
        <v>13.88</v>
      </c>
      <c r="CY96" s="41">
        <v>8.7100000000000009</v>
      </c>
      <c r="CZ96" s="41">
        <v>19.05</v>
      </c>
    </row>
    <row r="97" spans="1:104" x14ac:dyDescent="0.2">
      <c r="A97" s="43"/>
      <c r="B97" s="43"/>
      <c r="C97" s="43"/>
      <c r="D97" s="43"/>
      <c r="E97" s="43"/>
      <c r="F97" s="43"/>
      <c r="G97" s="43"/>
      <c r="CN97" s="41" t="s">
        <v>211</v>
      </c>
      <c r="CR97" s="41" t="s">
        <v>211</v>
      </c>
      <c r="CS97" s="41" t="s">
        <v>211</v>
      </c>
      <c r="CY97" s="41">
        <v>0.96</v>
      </c>
      <c r="CZ97" s="41">
        <v>1.96</v>
      </c>
    </row>
    <row r="98" spans="1:104" x14ac:dyDescent="0.2">
      <c r="A98" s="44"/>
      <c r="B98" s="44"/>
      <c r="C98" s="44"/>
      <c r="D98" s="44"/>
      <c r="E98" s="44"/>
      <c r="F98" s="44"/>
      <c r="G98" s="44"/>
      <c r="CM98" s="41">
        <v>2015</v>
      </c>
      <c r="CN98" s="41" t="s">
        <v>210</v>
      </c>
      <c r="CO98" s="41" t="s">
        <v>289</v>
      </c>
      <c r="CP98" s="41" t="s">
        <v>116</v>
      </c>
      <c r="CQ98" s="41">
        <f>CX98/100</f>
        <v>7.7699999999999991E-2</v>
      </c>
      <c r="CR98" s="41">
        <f t="shared" si="42"/>
        <v>7.0099999999999996E-2</v>
      </c>
      <c r="CS98" s="41">
        <f t="shared" si="43"/>
        <v>8.5299999999999987E-2</v>
      </c>
      <c r="CX98" s="41">
        <v>7.77</v>
      </c>
      <c r="CY98" s="41">
        <v>7.01</v>
      </c>
      <c r="CZ98" s="41">
        <v>8.5299999999999994</v>
      </c>
    </row>
    <row r="99" spans="1:104" x14ac:dyDescent="0.2">
      <c r="A99" s="43"/>
      <c r="B99" s="43"/>
      <c r="C99" s="43"/>
      <c r="D99" s="43"/>
      <c r="E99" s="43"/>
      <c r="F99" s="43"/>
      <c r="G99" s="43"/>
      <c r="CM99" s="41">
        <v>2015</v>
      </c>
      <c r="CN99" s="41" t="s">
        <v>210</v>
      </c>
      <c r="CO99" s="41" t="s">
        <v>301</v>
      </c>
      <c r="CP99" s="41" t="s">
        <v>116</v>
      </c>
      <c r="CQ99" s="41">
        <f>CX99/100</f>
        <v>0.12119999999999999</v>
      </c>
      <c r="CR99" s="41">
        <f t="shared" si="42"/>
        <v>0.1118</v>
      </c>
      <c r="CS99" s="41">
        <f t="shared" si="43"/>
        <v>0.13070000000000001</v>
      </c>
      <c r="CX99" s="41">
        <v>12.12</v>
      </c>
      <c r="CY99" s="41">
        <v>11.18</v>
      </c>
      <c r="CZ99" s="41">
        <v>13.07</v>
      </c>
    </row>
    <row r="100" spans="1:104" x14ac:dyDescent="0.2">
      <c r="A100" s="44"/>
      <c r="B100" s="44"/>
      <c r="C100" s="44"/>
      <c r="D100" s="44"/>
      <c r="E100" s="44"/>
      <c r="F100" s="44"/>
      <c r="G100" s="44"/>
    </row>
    <row r="101" spans="1:104" x14ac:dyDescent="0.2">
      <c r="A101" s="43"/>
      <c r="B101" s="43"/>
      <c r="C101" s="43"/>
      <c r="D101" s="43"/>
      <c r="E101" s="43"/>
      <c r="F101" s="43"/>
      <c r="G101" s="43"/>
    </row>
    <row r="102" spans="1:104" x14ac:dyDescent="0.2">
      <c r="A102" s="44"/>
      <c r="B102" s="44"/>
      <c r="C102" s="44"/>
      <c r="D102" s="44"/>
      <c r="E102" s="44"/>
      <c r="F102" s="44"/>
      <c r="G102" s="44"/>
      <c r="CQ102" s="41" t="s">
        <v>301</v>
      </c>
      <c r="CY102" s="41" t="s">
        <v>211</v>
      </c>
    </row>
    <row r="103" spans="1:104" x14ac:dyDescent="0.2">
      <c r="A103" s="43"/>
      <c r="B103" s="43"/>
      <c r="C103" s="43"/>
      <c r="D103" s="43"/>
      <c r="E103" s="43"/>
      <c r="F103" s="43"/>
      <c r="G103" s="43"/>
      <c r="CM103" s="41">
        <v>2015</v>
      </c>
      <c r="CN103" s="41" t="s">
        <v>332</v>
      </c>
      <c r="CO103" s="41" t="s">
        <v>301</v>
      </c>
      <c r="CP103" s="41" t="s">
        <v>116</v>
      </c>
      <c r="CQ103" s="41">
        <v>5.5999999999999994E-2</v>
      </c>
      <c r="CR103" s="41">
        <v>4.0999999999999995E-2</v>
      </c>
      <c r="CS103" s="41">
        <v>7.0999999999999994E-2</v>
      </c>
      <c r="CT103" s="41" t="s">
        <v>282</v>
      </c>
    </row>
    <row r="104" spans="1:104" x14ac:dyDescent="0.2">
      <c r="A104" s="44"/>
      <c r="B104" s="44"/>
      <c r="C104" s="44"/>
      <c r="D104" s="44"/>
      <c r="E104" s="44"/>
      <c r="F104" s="44"/>
      <c r="G104" s="44"/>
      <c r="CM104" s="41">
        <v>2015</v>
      </c>
      <c r="CN104" s="41" t="s">
        <v>333</v>
      </c>
      <c r="CO104" s="41" t="s">
        <v>301</v>
      </c>
      <c r="CP104" s="41" t="s">
        <v>116</v>
      </c>
      <c r="CQ104" s="41">
        <v>6.7000000000000004E-2</v>
      </c>
      <c r="CR104" s="41">
        <v>5.0999999999999997E-2</v>
      </c>
      <c r="CS104" s="41">
        <v>8.4000000000000005E-2</v>
      </c>
    </row>
    <row r="105" spans="1:104" x14ac:dyDescent="0.2">
      <c r="A105" s="43"/>
      <c r="B105" s="43"/>
      <c r="C105" s="43"/>
      <c r="D105" s="43"/>
      <c r="E105" s="43"/>
      <c r="F105" s="43"/>
      <c r="G105" s="43"/>
      <c r="CM105" s="41">
        <v>2015</v>
      </c>
      <c r="CN105" s="41" t="s">
        <v>334</v>
      </c>
      <c r="CO105" s="41" t="s">
        <v>301</v>
      </c>
      <c r="CP105" s="41" t="s">
        <v>116</v>
      </c>
      <c r="CQ105" s="41">
        <v>0.157</v>
      </c>
      <c r="CR105" s="41">
        <v>0.14099999999999999</v>
      </c>
      <c r="CS105" s="41">
        <v>0.17300000000000001</v>
      </c>
    </row>
    <row r="106" spans="1:104" x14ac:dyDescent="0.2">
      <c r="A106" s="44"/>
      <c r="B106" s="44"/>
      <c r="C106" s="44"/>
      <c r="D106" s="44"/>
      <c r="E106" s="44"/>
      <c r="F106" s="44"/>
      <c r="G106" s="44"/>
      <c r="H106" s="41" t="s">
        <v>211</v>
      </c>
      <c r="CM106" s="41">
        <v>2010</v>
      </c>
      <c r="CN106" s="41" t="s">
        <v>332</v>
      </c>
      <c r="CO106" s="41" t="s">
        <v>301</v>
      </c>
      <c r="CP106" s="41" t="s">
        <v>116</v>
      </c>
      <c r="CQ106" s="41">
        <v>8.199999999999999E-2</v>
      </c>
      <c r="CR106" s="41">
        <v>0.06</v>
      </c>
      <c r="CS106" s="41">
        <v>0.10300000000000001</v>
      </c>
    </row>
    <row r="107" spans="1:104" x14ac:dyDescent="0.2">
      <c r="A107" s="43"/>
      <c r="B107" s="43"/>
      <c r="C107" s="43"/>
      <c r="D107" s="43"/>
      <c r="E107" s="43"/>
      <c r="F107" s="43"/>
      <c r="G107" s="43"/>
      <c r="CM107" s="41">
        <v>2010</v>
      </c>
      <c r="CN107" s="41" t="s">
        <v>333</v>
      </c>
      <c r="CO107" s="41" t="s">
        <v>301</v>
      </c>
      <c r="CP107" s="41" t="s">
        <v>116</v>
      </c>
      <c r="CQ107" s="41">
        <v>0.09</v>
      </c>
      <c r="CR107" s="41">
        <v>7.0999999999999994E-2</v>
      </c>
      <c r="CS107" s="41">
        <v>0.11</v>
      </c>
    </row>
    <row r="108" spans="1:104" x14ac:dyDescent="0.2">
      <c r="A108" s="44"/>
      <c r="B108" s="44"/>
      <c r="C108" s="44"/>
      <c r="D108" s="44"/>
      <c r="E108" s="44"/>
      <c r="F108" s="44"/>
      <c r="G108" s="44"/>
      <c r="CM108" s="41">
        <v>2010</v>
      </c>
      <c r="CN108" s="41" t="s">
        <v>334</v>
      </c>
      <c r="CO108" s="41" t="s">
        <v>301</v>
      </c>
      <c r="CP108" s="41" t="s">
        <v>116</v>
      </c>
      <c r="CQ108" s="41">
        <v>0.17600000000000002</v>
      </c>
      <c r="CR108" s="41">
        <v>0.157</v>
      </c>
      <c r="CS108" s="41">
        <v>0.19500000000000001</v>
      </c>
    </row>
    <row r="109" spans="1:104" x14ac:dyDescent="0.2">
      <c r="A109" s="43"/>
      <c r="B109" s="43"/>
      <c r="C109" s="43"/>
      <c r="D109" s="43"/>
      <c r="E109" s="43"/>
      <c r="F109" s="43"/>
      <c r="G109" s="43"/>
      <c r="CM109" s="41">
        <v>2004</v>
      </c>
      <c r="CN109" s="41" t="s">
        <v>332</v>
      </c>
      <c r="CO109" s="41" t="s">
        <v>301</v>
      </c>
      <c r="CP109" s="41" t="s">
        <v>116</v>
      </c>
      <c r="CQ109" s="41">
        <v>0.10400000000000001</v>
      </c>
      <c r="CR109" s="41">
        <v>6.6000000000000003E-2</v>
      </c>
      <c r="CS109" s="41">
        <v>0.14199999999999999</v>
      </c>
    </row>
    <row r="110" spans="1:104" x14ac:dyDescent="0.2">
      <c r="A110" s="44"/>
      <c r="B110" s="44"/>
      <c r="C110" s="44"/>
      <c r="D110" s="44"/>
      <c r="E110" s="44"/>
      <c r="F110" s="44"/>
      <c r="G110" s="44"/>
      <c r="CM110" s="41">
        <v>2004</v>
      </c>
      <c r="CN110" s="41" t="s">
        <v>333</v>
      </c>
      <c r="CO110" s="41" t="s">
        <v>301</v>
      </c>
      <c r="CP110" s="41" t="s">
        <v>116</v>
      </c>
      <c r="CQ110" s="41">
        <v>6.6000000000000003E-2</v>
      </c>
      <c r="CR110" s="41">
        <v>4.7E-2</v>
      </c>
      <c r="CS110" s="41">
        <v>8.4000000000000005E-2</v>
      </c>
    </row>
    <row r="111" spans="1:104" x14ac:dyDescent="0.2">
      <c r="A111" s="43"/>
      <c r="B111" s="43"/>
      <c r="C111" s="43"/>
      <c r="D111" s="43"/>
      <c r="E111" s="43"/>
      <c r="F111" s="43"/>
      <c r="G111" s="43"/>
      <c r="CM111" s="41">
        <v>2004</v>
      </c>
      <c r="CN111" s="41" t="s">
        <v>334</v>
      </c>
      <c r="CO111" s="41" t="s">
        <v>301</v>
      </c>
      <c r="CP111" s="41" t="s">
        <v>116</v>
      </c>
      <c r="CQ111" s="41">
        <v>0.19800000000000001</v>
      </c>
      <c r="CR111" s="41">
        <v>0.17499999999999999</v>
      </c>
      <c r="CS111" s="41">
        <v>0.221</v>
      </c>
    </row>
    <row r="112" spans="1:104" x14ac:dyDescent="0.2">
      <c r="A112" s="44"/>
      <c r="B112" s="44"/>
      <c r="C112" s="44"/>
      <c r="D112" s="44"/>
      <c r="E112" s="44"/>
      <c r="F112" s="44"/>
      <c r="G112" s="44"/>
    </row>
    <row r="113" spans="1:97" x14ac:dyDescent="0.2">
      <c r="A113" s="43"/>
      <c r="B113" s="43"/>
      <c r="C113" s="43"/>
      <c r="D113" s="43"/>
      <c r="E113" s="43"/>
      <c r="F113" s="43"/>
      <c r="G113" s="43"/>
      <c r="CQ113" s="41" t="s">
        <v>289</v>
      </c>
    </row>
    <row r="114" spans="1:97" x14ac:dyDescent="0.2">
      <c r="A114" s="44"/>
      <c r="B114" s="44"/>
      <c r="C114" s="44"/>
      <c r="D114" s="44"/>
      <c r="E114" s="44"/>
      <c r="F114" s="44"/>
      <c r="G114" s="44"/>
      <c r="CM114" s="41">
        <v>2015</v>
      </c>
      <c r="CN114" s="41" t="s">
        <v>332</v>
      </c>
      <c r="CO114" s="41" t="s">
        <v>289</v>
      </c>
      <c r="CP114" s="41" t="s">
        <v>116</v>
      </c>
      <c r="CQ114" s="41">
        <v>4.5999999999999999E-2</v>
      </c>
      <c r="CR114" s="41">
        <v>2.8999999999999998E-2</v>
      </c>
      <c r="CS114" s="41">
        <v>6.2E-2</v>
      </c>
    </row>
    <row r="115" spans="1:97" x14ac:dyDescent="0.2">
      <c r="A115" s="43"/>
      <c r="B115" s="43"/>
      <c r="C115" s="43"/>
      <c r="D115" s="43"/>
      <c r="E115" s="43"/>
      <c r="F115" s="43"/>
      <c r="G115" s="43"/>
      <c r="CM115" s="41">
        <v>2015</v>
      </c>
      <c r="CN115" s="41" t="s">
        <v>333</v>
      </c>
      <c r="CO115" s="41" t="s">
        <v>289</v>
      </c>
      <c r="CP115" s="41" t="s">
        <v>116</v>
      </c>
      <c r="CQ115" s="41">
        <v>4.4000000000000004E-2</v>
      </c>
      <c r="CR115" s="41">
        <v>0.03</v>
      </c>
      <c r="CS115" s="41">
        <v>5.7999999999999996E-2</v>
      </c>
    </row>
    <row r="116" spans="1:97" x14ac:dyDescent="0.2">
      <c r="A116" s="44"/>
      <c r="B116" s="44"/>
      <c r="C116" s="44"/>
      <c r="D116" s="44"/>
      <c r="E116" s="44"/>
      <c r="F116" s="44"/>
      <c r="G116" s="44"/>
      <c r="CM116" s="41">
        <v>2015</v>
      </c>
      <c r="CN116" s="41" t="s">
        <v>334</v>
      </c>
      <c r="CO116" s="41" t="s">
        <v>289</v>
      </c>
      <c r="CP116" s="41" t="s">
        <v>116</v>
      </c>
      <c r="CQ116" s="41">
        <v>9.1999999999999998E-2</v>
      </c>
      <c r="CR116" s="41">
        <v>7.8E-2</v>
      </c>
      <c r="CS116" s="41">
        <v>0.105</v>
      </c>
    </row>
    <row r="117" spans="1:97" x14ac:dyDescent="0.2">
      <c r="A117" s="43"/>
      <c r="B117" s="43"/>
      <c r="C117" s="43"/>
      <c r="D117" s="43"/>
      <c r="E117" s="43"/>
      <c r="F117" s="43"/>
      <c r="G117" s="43"/>
      <c r="CM117" s="41">
        <v>2010</v>
      </c>
      <c r="CN117" s="41" t="s">
        <v>332</v>
      </c>
      <c r="CO117" s="41" t="s">
        <v>289</v>
      </c>
      <c r="CP117" s="41" t="s">
        <v>116</v>
      </c>
      <c r="CQ117" s="41">
        <v>4.8000000000000001E-2</v>
      </c>
      <c r="CR117" s="41">
        <v>0.03</v>
      </c>
      <c r="CS117" s="41">
        <v>6.6000000000000003E-2</v>
      </c>
    </row>
    <row r="118" spans="1:97" x14ac:dyDescent="0.2">
      <c r="A118" s="44"/>
      <c r="B118" s="44"/>
      <c r="C118" s="44"/>
      <c r="D118" s="44"/>
      <c r="E118" s="44"/>
      <c r="F118" s="44"/>
      <c r="G118" s="44"/>
      <c r="CM118" s="41">
        <v>2010</v>
      </c>
      <c r="CN118" s="41" t="s">
        <v>333</v>
      </c>
      <c r="CO118" s="41" t="s">
        <v>289</v>
      </c>
      <c r="CP118" s="41" t="s">
        <v>116</v>
      </c>
      <c r="CQ118" s="41">
        <v>6.2E-2</v>
      </c>
      <c r="CR118" s="41">
        <v>4.4999999999999998E-2</v>
      </c>
      <c r="CS118" s="41">
        <v>7.9000000000000001E-2</v>
      </c>
    </row>
    <row r="119" spans="1:97" x14ac:dyDescent="0.2">
      <c r="A119" s="43"/>
      <c r="B119" s="43"/>
      <c r="C119" s="43"/>
      <c r="D119" s="43"/>
      <c r="E119" s="43"/>
      <c r="F119" s="43"/>
      <c r="G119" s="43"/>
      <c r="CM119" s="41">
        <v>2010</v>
      </c>
      <c r="CN119" s="41" t="s">
        <v>334</v>
      </c>
      <c r="CO119" s="41" t="s">
        <v>289</v>
      </c>
      <c r="CP119" s="41" t="s">
        <v>116</v>
      </c>
      <c r="CQ119" s="41">
        <v>0.11</v>
      </c>
      <c r="CR119" s="41">
        <v>9.4E-2</v>
      </c>
      <c r="CS119" s="41">
        <v>0.125</v>
      </c>
    </row>
    <row r="120" spans="1:97" x14ac:dyDescent="0.2">
      <c r="A120" s="44"/>
      <c r="B120" s="44"/>
      <c r="C120" s="44"/>
      <c r="D120" s="44"/>
      <c r="E120" s="44"/>
      <c r="F120" s="44"/>
      <c r="G120" s="44"/>
      <c r="CM120" s="41">
        <v>2004</v>
      </c>
      <c r="CN120" s="41" t="s">
        <v>332</v>
      </c>
      <c r="CO120" s="41" t="s">
        <v>289</v>
      </c>
      <c r="CP120" s="41" t="s">
        <v>116</v>
      </c>
      <c r="CQ120" s="41">
        <v>5.4000000000000006E-2</v>
      </c>
      <c r="CR120" s="41">
        <v>0.03</v>
      </c>
      <c r="CS120" s="41">
        <v>7.8E-2</v>
      </c>
    </row>
    <row r="121" spans="1:97" x14ac:dyDescent="0.2">
      <c r="A121" s="43"/>
      <c r="B121" s="43"/>
      <c r="C121" s="43"/>
      <c r="D121" s="43"/>
      <c r="E121" s="43"/>
      <c r="F121" s="43"/>
      <c r="G121" s="43"/>
      <c r="CM121" s="41">
        <v>2004</v>
      </c>
      <c r="CN121" s="41" t="s">
        <v>333</v>
      </c>
      <c r="CO121" s="41" t="s">
        <v>289</v>
      </c>
      <c r="CP121" s="41" t="s">
        <v>116</v>
      </c>
      <c r="CQ121" s="41">
        <v>6.4000000000000001E-2</v>
      </c>
      <c r="CR121" s="41">
        <v>3.7999999999999999E-2</v>
      </c>
      <c r="CS121" s="41">
        <v>0.09</v>
      </c>
    </row>
    <row r="122" spans="1:97" x14ac:dyDescent="0.2">
      <c r="A122" s="44"/>
      <c r="B122" s="44"/>
      <c r="C122" s="44"/>
      <c r="D122" s="44"/>
      <c r="E122" s="44"/>
      <c r="F122" s="44"/>
      <c r="G122" s="44"/>
      <c r="CM122" s="41">
        <v>2004</v>
      </c>
      <c r="CN122" s="41" t="s">
        <v>334</v>
      </c>
      <c r="CO122" s="41" t="s">
        <v>289</v>
      </c>
      <c r="CP122" s="41" t="s">
        <v>116</v>
      </c>
      <c r="CQ122" s="41">
        <v>0.151</v>
      </c>
      <c r="CR122" s="41">
        <v>0.12300000000000001</v>
      </c>
      <c r="CS122" s="41">
        <v>0.17899999999999999</v>
      </c>
    </row>
    <row r="123" spans="1:97" x14ac:dyDescent="0.2">
      <c r="A123" s="43"/>
      <c r="B123" s="43"/>
      <c r="C123" s="43"/>
      <c r="D123" s="43"/>
      <c r="E123" s="43"/>
      <c r="F123" s="43"/>
      <c r="G123" s="43"/>
      <c r="P123" s="41" t="s">
        <v>211</v>
      </c>
    </row>
    <row r="124" spans="1:97" x14ac:dyDescent="0.2">
      <c r="A124" s="44"/>
      <c r="B124" s="44"/>
      <c r="C124" s="44"/>
      <c r="D124" s="44"/>
      <c r="E124" s="44"/>
      <c r="F124" s="44"/>
      <c r="G124" s="44"/>
    </row>
    <row r="125" spans="1:97" x14ac:dyDescent="0.2">
      <c r="A125" s="43"/>
      <c r="B125" s="43"/>
      <c r="C125" s="43"/>
      <c r="D125" s="43"/>
      <c r="E125" s="43"/>
      <c r="F125" s="43"/>
      <c r="G125" s="43"/>
    </row>
    <row r="126" spans="1:97" x14ac:dyDescent="0.2">
      <c r="A126" s="44"/>
      <c r="B126" s="44"/>
      <c r="C126" s="44"/>
      <c r="D126" s="44"/>
      <c r="E126" s="44"/>
      <c r="F126" s="44"/>
      <c r="G126" s="44"/>
    </row>
    <row r="127" spans="1:97" x14ac:dyDescent="0.2">
      <c r="A127" s="43"/>
      <c r="B127" s="43"/>
      <c r="C127" s="43"/>
      <c r="D127" s="43"/>
      <c r="E127" s="43"/>
      <c r="F127" s="43"/>
      <c r="G127" s="43"/>
    </row>
    <row r="128" spans="1:97" x14ac:dyDescent="0.2">
      <c r="A128" s="44"/>
      <c r="B128" s="44"/>
      <c r="C128" s="44"/>
      <c r="D128" s="44"/>
      <c r="E128" s="44"/>
      <c r="F128" s="44"/>
      <c r="G128" s="44"/>
    </row>
    <row r="129" spans="1:7" x14ac:dyDescent="0.2">
      <c r="A129" s="43"/>
      <c r="B129" s="43"/>
      <c r="C129" s="43"/>
      <c r="D129" s="43"/>
      <c r="E129" s="43"/>
      <c r="F129" s="43"/>
      <c r="G129" s="43"/>
    </row>
    <row r="130" spans="1:7" x14ac:dyDescent="0.2">
      <c r="A130" s="44"/>
      <c r="B130" s="44"/>
      <c r="C130" s="44"/>
      <c r="D130" s="44"/>
      <c r="E130" s="44"/>
      <c r="F130" s="44"/>
      <c r="G130" s="44"/>
    </row>
    <row r="131" spans="1:7" x14ac:dyDescent="0.2">
      <c r="A131" s="43"/>
      <c r="B131" s="43"/>
      <c r="C131" s="43"/>
      <c r="D131" s="43"/>
      <c r="E131" s="43"/>
      <c r="F131" s="43"/>
      <c r="G131" s="43"/>
    </row>
    <row r="132" spans="1:7" x14ac:dyDescent="0.2">
      <c r="A132" s="44"/>
      <c r="B132" s="44"/>
      <c r="C132" s="44"/>
      <c r="D132" s="44"/>
      <c r="E132" s="44"/>
      <c r="F132" s="44"/>
      <c r="G132" s="44"/>
    </row>
    <row r="133" spans="1:7" x14ac:dyDescent="0.2">
      <c r="A133" s="43"/>
      <c r="B133" s="43"/>
      <c r="C133" s="43"/>
      <c r="D133" s="43"/>
      <c r="E133" s="43"/>
      <c r="F133" s="43"/>
      <c r="G133" s="43"/>
    </row>
    <row r="134" spans="1:7" x14ac:dyDescent="0.2">
      <c r="A134" s="44"/>
      <c r="B134" s="44"/>
      <c r="C134" s="44"/>
      <c r="D134" s="44"/>
      <c r="E134" s="44"/>
      <c r="F134" s="44"/>
      <c r="G134" s="44"/>
    </row>
    <row r="135" spans="1:7" x14ac:dyDescent="0.2">
      <c r="A135" s="43"/>
      <c r="B135" s="43"/>
      <c r="C135" s="43"/>
      <c r="D135" s="43"/>
      <c r="E135" s="43"/>
      <c r="F135" s="43"/>
      <c r="G135" s="43"/>
    </row>
    <row r="136" spans="1:7" x14ac:dyDescent="0.2">
      <c r="A136" s="44"/>
      <c r="B136" s="44"/>
      <c r="C136" s="44"/>
      <c r="D136" s="44"/>
      <c r="E136" s="44"/>
      <c r="F136" s="44"/>
      <c r="G136" s="44"/>
    </row>
    <row r="137" spans="1:7" x14ac:dyDescent="0.2">
      <c r="A137" s="43"/>
      <c r="B137" s="43"/>
      <c r="C137" s="43"/>
      <c r="D137" s="43"/>
      <c r="E137" s="43"/>
      <c r="F137" s="43"/>
      <c r="G137" s="43"/>
    </row>
    <row r="138" spans="1:7" x14ac:dyDescent="0.2">
      <c r="A138" s="44"/>
      <c r="B138" s="44"/>
      <c r="C138" s="44"/>
      <c r="D138" s="44"/>
      <c r="E138" s="44"/>
      <c r="F138" s="44"/>
      <c r="G138" s="44"/>
    </row>
    <row r="139" spans="1:7" x14ac:dyDescent="0.2">
      <c r="A139" s="43"/>
      <c r="B139" s="43"/>
      <c r="C139" s="43"/>
      <c r="D139" s="43"/>
      <c r="E139" s="43"/>
      <c r="F139" s="43"/>
      <c r="G139" s="43"/>
    </row>
    <row r="140" spans="1:7" x14ac:dyDescent="0.2">
      <c r="A140" s="44"/>
      <c r="B140" s="44"/>
      <c r="C140" s="44"/>
      <c r="D140" s="44"/>
      <c r="E140" s="44"/>
      <c r="F140" s="44"/>
      <c r="G140" s="44"/>
    </row>
    <row r="141" spans="1:7" x14ac:dyDescent="0.2">
      <c r="A141" s="43"/>
      <c r="B141" s="43"/>
      <c r="C141" s="43"/>
      <c r="D141" s="43"/>
      <c r="E141" s="43"/>
      <c r="F141" s="43"/>
      <c r="G141" s="43"/>
    </row>
    <row r="142" spans="1:7" x14ac:dyDescent="0.2">
      <c r="A142" s="44"/>
      <c r="B142" s="44"/>
      <c r="C142" s="44"/>
      <c r="D142" s="44"/>
      <c r="E142" s="44"/>
      <c r="F142" s="44"/>
      <c r="G142" s="44"/>
    </row>
    <row r="143" spans="1:7" x14ac:dyDescent="0.2">
      <c r="A143" s="43"/>
      <c r="B143" s="43"/>
      <c r="C143" s="43"/>
      <c r="D143" s="43"/>
      <c r="E143" s="43"/>
      <c r="F143" s="43"/>
      <c r="G143" s="43"/>
    </row>
    <row r="144" spans="1:7" x14ac:dyDescent="0.2">
      <c r="A144" s="44"/>
      <c r="B144" s="44"/>
      <c r="C144" s="44"/>
      <c r="D144" s="44"/>
      <c r="E144" s="44"/>
      <c r="F144" s="44"/>
      <c r="G144" s="44"/>
    </row>
    <row r="145" spans="1:7" x14ac:dyDescent="0.2">
      <c r="A145" s="43"/>
      <c r="B145" s="43"/>
      <c r="C145" s="43"/>
      <c r="D145" s="43"/>
      <c r="E145" s="43"/>
      <c r="F145" s="43"/>
      <c r="G145" s="43"/>
    </row>
    <row r="146" spans="1:7" x14ac:dyDescent="0.2">
      <c r="A146" s="44"/>
      <c r="B146" s="44"/>
      <c r="C146" s="44"/>
      <c r="D146" s="44"/>
      <c r="E146" s="44"/>
      <c r="F146" s="44"/>
      <c r="G146" s="44"/>
    </row>
    <row r="147" spans="1:7" x14ac:dyDescent="0.2">
      <c r="A147" s="43"/>
      <c r="B147" s="43"/>
      <c r="C147" s="43"/>
      <c r="D147" s="43"/>
      <c r="E147" s="43"/>
      <c r="F147" s="43"/>
      <c r="G147" s="43"/>
    </row>
    <row r="148" spans="1:7" x14ac:dyDescent="0.2">
      <c r="A148" s="44"/>
      <c r="B148" s="44"/>
      <c r="C148" s="44"/>
      <c r="D148" s="44"/>
      <c r="E148" s="44"/>
      <c r="F148" s="44"/>
      <c r="G148" s="44"/>
    </row>
    <row r="149" spans="1:7" x14ac:dyDescent="0.2">
      <c r="A149" s="43"/>
      <c r="B149" s="43"/>
      <c r="C149" s="43"/>
      <c r="D149" s="43"/>
      <c r="E149" s="43"/>
      <c r="F149" s="43"/>
      <c r="G149" s="43"/>
    </row>
    <row r="150" spans="1:7" x14ac:dyDescent="0.2">
      <c r="A150" s="44"/>
      <c r="B150" s="44"/>
      <c r="C150" s="44"/>
      <c r="D150" s="44"/>
      <c r="E150" s="44"/>
      <c r="F150" s="44"/>
      <c r="G150" s="44"/>
    </row>
    <row r="151" spans="1:7" x14ac:dyDescent="0.2">
      <c r="A151" s="43"/>
      <c r="B151" s="43"/>
      <c r="C151" s="43"/>
      <c r="D151" s="43"/>
      <c r="E151" s="43"/>
      <c r="F151" s="43"/>
      <c r="G151" s="43"/>
    </row>
    <row r="152" spans="1:7" x14ac:dyDescent="0.2">
      <c r="A152" s="44"/>
      <c r="B152" s="44"/>
      <c r="C152" s="44"/>
      <c r="D152" s="44"/>
      <c r="E152" s="44"/>
      <c r="F152" s="44"/>
      <c r="G152" s="44"/>
    </row>
    <row r="153" spans="1:7" x14ac:dyDescent="0.2">
      <c r="A153" s="43"/>
      <c r="B153" s="43"/>
      <c r="C153" s="43"/>
      <c r="D153" s="43"/>
      <c r="E153" s="43"/>
      <c r="F153" s="43"/>
      <c r="G153" s="43"/>
    </row>
    <row r="154" spans="1:7" x14ac:dyDescent="0.2">
      <c r="A154" s="44"/>
      <c r="B154" s="44"/>
      <c r="C154" s="44"/>
      <c r="D154" s="44"/>
      <c r="E154" s="44"/>
      <c r="F154" s="44"/>
      <c r="G154" s="44"/>
    </row>
    <row r="155" spans="1:7" x14ac:dyDescent="0.2">
      <c r="A155" s="43"/>
      <c r="B155" s="43"/>
      <c r="C155" s="43"/>
      <c r="D155" s="43"/>
      <c r="E155" s="43"/>
      <c r="F155" s="43"/>
      <c r="G155" s="43"/>
    </row>
    <row r="156" spans="1:7" x14ac:dyDescent="0.2">
      <c r="A156" s="44"/>
      <c r="B156" s="44"/>
      <c r="C156" s="44"/>
      <c r="D156" s="44"/>
      <c r="E156" s="44"/>
      <c r="F156" s="44"/>
      <c r="G156" s="44"/>
    </row>
    <row r="157" spans="1:7" x14ac:dyDescent="0.2">
      <c r="A157" s="43"/>
      <c r="B157" s="43"/>
      <c r="C157" s="43"/>
      <c r="D157" s="43"/>
      <c r="E157" s="43"/>
      <c r="F157" s="43"/>
      <c r="G157" s="43"/>
    </row>
    <row r="158" spans="1:7" x14ac:dyDescent="0.2">
      <c r="A158" s="44"/>
      <c r="B158" s="44"/>
      <c r="C158" s="44"/>
      <c r="D158" s="44"/>
      <c r="E158" s="44"/>
      <c r="F158" s="44"/>
      <c r="G158" s="44"/>
    </row>
    <row r="159" spans="1:7" x14ac:dyDescent="0.2">
      <c r="A159" s="43"/>
      <c r="B159" s="43"/>
      <c r="C159" s="43"/>
      <c r="D159" s="43"/>
      <c r="E159" s="43"/>
      <c r="F159" s="43"/>
      <c r="G159" s="43"/>
    </row>
    <row r="160" spans="1:7" x14ac:dyDescent="0.2">
      <c r="A160" s="44"/>
      <c r="B160" s="44"/>
      <c r="C160" s="44"/>
      <c r="D160" s="44"/>
      <c r="E160" s="44"/>
      <c r="F160" s="44"/>
      <c r="G160" s="44"/>
    </row>
    <row r="161" spans="1:7" x14ac:dyDescent="0.2">
      <c r="A161" s="43"/>
      <c r="B161" s="43"/>
      <c r="C161" s="43"/>
      <c r="D161" s="43"/>
      <c r="E161" s="43"/>
      <c r="F161" s="43"/>
      <c r="G161" s="43"/>
    </row>
    <row r="162" spans="1:7" x14ac:dyDescent="0.2">
      <c r="A162" s="44"/>
      <c r="B162" s="44"/>
      <c r="C162" s="44"/>
      <c r="D162" s="44"/>
      <c r="E162" s="44"/>
      <c r="F162" s="44"/>
      <c r="G162" s="44"/>
    </row>
    <row r="163" spans="1:7" x14ac:dyDescent="0.2">
      <c r="A163" s="43"/>
      <c r="B163" s="43"/>
      <c r="C163" s="43"/>
      <c r="D163" s="43"/>
      <c r="E163" s="43"/>
      <c r="F163" s="43"/>
      <c r="G163" s="43"/>
    </row>
    <row r="164" spans="1:7" x14ac:dyDescent="0.2">
      <c r="A164" s="44"/>
      <c r="B164" s="44"/>
      <c r="C164" s="44"/>
      <c r="D164" s="44"/>
      <c r="E164" s="44"/>
      <c r="F164" s="44"/>
      <c r="G164" s="44"/>
    </row>
    <row r="165" spans="1:7" x14ac:dyDescent="0.2">
      <c r="A165" s="43"/>
      <c r="B165" s="43"/>
      <c r="C165" s="43"/>
      <c r="D165" s="43"/>
      <c r="E165" s="43"/>
      <c r="F165" s="43"/>
      <c r="G165" s="43"/>
    </row>
    <row r="166" spans="1:7" x14ac:dyDescent="0.2">
      <c r="A166" s="44"/>
      <c r="B166" s="44"/>
      <c r="C166" s="44"/>
      <c r="D166" s="44"/>
      <c r="E166" s="44"/>
      <c r="F166" s="44"/>
      <c r="G166" s="44"/>
    </row>
    <row r="167" spans="1:7" x14ac:dyDescent="0.2">
      <c r="A167" s="43"/>
      <c r="B167" s="43"/>
      <c r="C167" s="43"/>
      <c r="D167" s="43"/>
      <c r="E167" s="43"/>
      <c r="F167" s="43"/>
      <c r="G167" s="43"/>
    </row>
    <row r="168" spans="1:7" x14ac:dyDescent="0.2">
      <c r="A168" s="44"/>
      <c r="B168" s="44"/>
      <c r="C168" s="44"/>
      <c r="D168" s="44"/>
      <c r="E168" s="44"/>
      <c r="F168" s="44"/>
      <c r="G168" s="44"/>
    </row>
    <row r="169" spans="1:7" x14ac:dyDescent="0.2">
      <c r="A169" s="43"/>
      <c r="B169" s="43"/>
      <c r="C169" s="43"/>
      <c r="D169" s="43"/>
      <c r="E169" s="43"/>
      <c r="F169" s="43"/>
      <c r="G169" s="43"/>
    </row>
    <row r="170" spans="1:7" x14ac:dyDescent="0.2">
      <c r="A170" s="44"/>
      <c r="B170" s="44"/>
      <c r="C170" s="44"/>
      <c r="D170" s="44"/>
      <c r="E170" s="44"/>
      <c r="F170" s="44"/>
      <c r="G170" s="44"/>
    </row>
    <row r="171" spans="1:7" x14ac:dyDescent="0.2">
      <c r="A171" s="43"/>
      <c r="B171" s="43"/>
      <c r="C171" s="43"/>
      <c r="D171" s="43"/>
      <c r="E171" s="43"/>
      <c r="F171" s="43"/>
      <c r="G171" s="43"/>
    </row>
    <row r="172" spans="1:7" x14ac:dyDescent="0.2">
      <c r="A172" s="44"/>
      <c r="B172" s="44"/>
      <c r="C172" s="44"/>
      <c r="D172" s="44"/>
      <c r="E172" s="44"/>
      <c r="F172" s="44"/>
      <c r="G172" s="44"/>
    </row>
    <row r="173" spans="1:7" x14ac:dyDescent="0.2">
      <c r="A173" s="43"/>
      <c r="B173" s="43"/>
      <c r="C173" s="43"/>
      <c r="D173" s="43"/>
      <c r="E173" s="43"/>
      <c r="F173" s="43"/>
      <c r="G173" s="43"/>
    </row>
    <row r="174" spans="1:7" x14ac:dyDescent="0.2">
      <c r="A174" s="44"/>
      <c r="B174" s="44"/>
      <c r="C174" s="44"/>
      <c r="D174" s="44"/>
      <c r="E174" s="44"/>
      <c r="F174" s="44"/>
      <c r="G174" s="44"/>
    </row>
    <row r="175" spans="1:7" x14ac:dyDescent="0.2">
      <c r="A175" s="43"/>
      <c r="B175" s="43"/>
      <c r="C175" s="43"/>
      <c r="D175" s="43"/>
      <c r="E175" s="43"/>
      <c r="F175" s="43"/>
      <c r="G175" s="43"/>
    </row>
    <row r="176" spans="1:7" x14ac:dyDescent="0.2">
      <c r="A176" s="44"/>
      <c r="B176" s="44"/>
      <c r="C176" s="44"/>
      <c r="D176" s="44"/>
      <c r="E176" s="44"/>
      <c r="F176" s="44"/>
      <c r="G176" s="44"/>
    </row>
    <row r="177" spans="1:7" x14ac:dyDescent="0.2">
      <c r="A177" s="43"/>
      <c r="B177" s="43"/>
      <c r="C177" s="43"/>
      <c r="D177" s="43"/>
      <c r="E177" s="43"/>
      <c r="F177" s="43"/>
      <c r="G177" s="43"/>
    </row>
    <row r="178" spans="1:7" x14ac:dyDescent="0.2">
      <c r="A178" s="44"/>
      <c r="B178" s="44"/>
      <c r="C178" s="44"/>
      <c r="D178" s="44"/>
      <c r="E178" s="44"/>
      <c r="F178" s="44"/>
      <c r="G178" s="44"/>
    </row>
    <row r="179" spans="1:7" x14ac:dyDescent="0.2">
      <c r="A179" s="43"/>
      <c r="B179" s="43"/>
      <c r="C179" s="43"/>
      <c r="D179" s="43"/>
      <c r="E179" s="43"/>
      <c r="F179" s="43"/>
      <c r="G179" s="43"/>
    </row>
    <row r="180" spans="1:7" x14ac:dyDescent="0.2">
      <c r="A180" s="44"/>
      <c r="B180" s="44"/>
      <c r="C180" s="44"/>
      <c r="D180" s="44"/>
      <c r="E180" s="44"/>
      <c r="F180" s="44"/>
      <c r="G180" s="44"/>
    </row>
    <row r="181" spans="1:7" x14ac:dyDescent="0.2">
      <c r="A181" s="43"/>
      <c r="B181" s="43"/>
      <c r="C181" s="43"/>
      <c r="D181" s="43"/>
      <c r="E181" s="43"/>
      <c r="F181" s="43"/>
      <c r="G181" s="43"/>
    </row>
    <row r="182" spans="1:7" x14ac:dyDescent="0.2">
      <c r="A182" s="44"/>
      <c r="B182" s="44"/>
      <c r="C182" s="44"/>
      <c r="D182" s="44"/>
      <c r="E182" s="44"/>
      <c r="F182" s="44"/>
      <c r="G182" s="44"/>
    </row>
    <row r="183" spans="1:7" x14ac:dyDescent="0.2">
      <c r="A183" s="43"/>
      <c r="B183" s="43"/>
      <c r="C183" s="43"/>
      <c r="D183" s="43"/>
      <c r="E183" s="43"/>
      <c r="F183" s="43"/>
      <c r="G183" s="43"/>
    </row>
    <row r="184" spans="1:7" x14ac:dyDescent="0.2">
      <c r="A184" s="44"/>
      <c r="B184" s="44"/>
      <c r="C184" s="44"/>
      <c r="D184" s="44"/>
      <c r="E184" s="44"/>
      <c r="F184" s="44"/>
      <c r="G184" s="44"/>
    </row>
    <row r="185" spans="1:7" x14ac:dyDescent="0.2">
      <c r="A185" s="43"/>
      <c r="B185" s="43"/>
      <c r="C185" s="43"/>
      <c r="D185" s="43"/>
      <c r="E185" s="43"/>
      <c r="F185" s="43"/>
      <c r="G185" s="43"/>
    </row>
    <row r="186" spans="1:7" x14ac:dyDescent="0.2">
      <c r="A186" s="44"/>
      <c r="B186" s="44"/>
      <c r="C186" s="44"/>
      <c r="D186" s="44"/>
      <c r="E186" s="44"/>
      <c r="F186" s="44"/>
      <c r="G186" s="44"/>
    </row>
    <row r="187" spans="1:7" x14ac:dyDescent="0.2">
      <c r="A187" s="43"/>
      <c r="B187" s="43"/>
      <c r="C187" s="43"/>
      <c r="D187" s="43"/>
      <c r="E187" s="43"/>
      <c r="F187" s="43"/>
      <c r="G187" s="43"/>
    </row>
    <row r="188" spans="1:7" x14ac:dyDescent="0.2">
      <c r="A188" s="44"/>
      <c r="B188" s="44"/>
      <c r="C188" s="44"/>
      <c r="D188" s="44"/>
      <c r="E188" s="44"/>
      <c r="F188" s="44"/>
      <c r="G188" s="44"/>
    </row>
    <row r="189" spans="1:7" x14ac:dyDescent="0.2">
      <c r="A189" s="43"/>
      <c r="B189" s="43"/>
      <c r="C189" s="43"/>
      <c r="D189" s="43"/>
      <c r="E189" s="43"/>
      <c r="F189" s="43"/>
      <c r="G189" s="43"/>
    </row>
    <row r="190" spans="1:7" x14ac:dyDescent="0.2">
      <c r="A190" s="44"/>
      <c r="B190" s="44"/>
      <c r="C190" s="44"/>
      <c r="D190" s="44"/>
      <c r="E190" s="44"/>
      <c r="F190" s="44"/>
      <c r="G190" s="44"/>
    </row>
    <row r="191" spans="1:7" x14ac:dyDescent="0.2">
      <c r="A191" s="43"/>
      <c r="B191" s="43"/>
      <c r="C191" s="43"/>
      <c r="D191" s="43"/>
      <c r="E191" s="43"/>
      <c r="F191" s="43"/>
      <c r="G191" s="43"/>
    </row>
    <row r="192" spans="1:7" x14ac:dyDescent="0.2">
      <c r="A192" s="44"/>
      <c r="B192" s="44"/>
      <c r="C192" s="44"/>
      <c r="D192" s="44"/>
      <c r="E192" s="44"/>
      <c r="F192" s="44"/>
      <c r="G192" s="44"/>
    </row>
    <row r="193" spans="1:7" x14ac:dyDescent="0.2">
      <c r="A193" s="43"/>
      <c r="B193" s="43"/>
      <c r="C193" s="43"/>
      <c r="D193" s="43"/>
      <c r="E193" s="43"/>
      <c r="F193" s="43"/>
      <c r="G193" s="43"/>
    </row>
    <row r="194" spans="1:7" x14ac:dyDescent="0.2">
      <c r="A194" s="44"/>
      <c r="B194" s="44"/>
      <c r="C194" s="44"/>
      <c r="D194" s="44"/>
      <c r="E194" s="44"/>
      <c r="F194" s="44"/>
      <c r="G194" s="44"/>
    </row>
    <row r="195" spans="1:7" x14ac:dyDescent="0.2">
      <c r="A195" s="43"/>
      <c r="B195" s="43"/>
      <c r="C195" s="43"/>
      <c r="D195" s="43"/>
      <c r="E195" s="43"/>
      <c r="F195" s="43"/>
      <c r="G195" s="43"/>
    </row>
    <row r="196" spans="1:7" x14ac:dyDescent="0.2">
      <c r="A196" s="44"/>
      <c r="B196" s="44"/>
      <c r="C196" s="44"/>
      <c r="D196" s="44"/>
      <c r="E196" s="44"/>
      <c r="F196" s="44"/>
      <c r="G196" s="44"/>
    </row>
    <row r="197" spans="1:7" x14ac:dyDescent="0.2">
      <c r="A197" s="43"/>
      <c r="B197" s="43"/>
      <c r="C197" s="43"/>
      <c r="D197" s="43"/>
      <c r="E197" s="43"/>
      <c r="F197" s="43"/>
      <c r="G197" s="43"/>
    </row>
    <row r="198" spans="1:7" x14ac:dyDescent="0.2">
      <c r="A198" s="44"/>
      <c r="B198" s="44"/>
      <c r="C198" s="44"/>
      <c r="D198" s="44"/>
      <c r="E198" s="44"/>
      <c r="F198" s="44"/>
      <c r="G198" s="44"/>
    </row>
    <row r="199" spans="1:7" x14ac:dyDescent="0.2">
      <c r="A199" s="43"/>
      <c r="B199" s="43"/>
      <c r="C199" s="43"/>
      <c r="D199" s="43"/>
      <c r="E199" s="43"/>
      <c r="F199" s="43"/>
      <c r="G199" s="43"/>
    </row>
    <row r="200" spans="1:7" x14ac:dyDescent="0.2">
      <c r="A200" s="44"/>
      <c r="B200" s="44"/>
      <c r="C200" s="44"/>
      <c r="D200" s="44"/>
      <c r="E200" s="44"/>
      <c r="F200" s="44"/>
      <c r="G200" s="44"/>
    </row>
    <row r="201" spans="1:7" x14ac:dyDescent="0.2">
      <c r="A201" s="43"/>
      <c r="B201" s="43"/>
      <c r="C201" s="43"/>
      <c r="D201" s="43"/>
      <c r="E201" s="43"/>
      <c r="F201" s="43"/>
      <c r="G201" s="43"/>
    </row>
    <row r="202" spans="1:7" x14ac:dyDescent="0.2">
      <c r="A202" s="44"/>
      <c r="B202" s="44"/>
      <c r="C202" s="44"/>
      <c r="D202" s="44"/>
      <c r="E202" s="44"/>
      <c r="F202" s="44"/>
      <c r="G202" s="44"/>
    </row>
    <row r="203" spans="1:7" x14ac:dyDescent="0.2">
      <c r="A203" s="43"/>
      <c r="B203" s="43"/>
      <c r="C203" s="43"/>
      <c r="D203" s="43"/>
      <c r="E203" s="43"/>
      <c r="F203" s="43"/>
      <c r="G203" s="43"/>
    </row>
    <row r="204" spans="1:7" x14ac:dyDescent="0.2">
      <c r="A204" s="44"/>
      <c r="B204" s="44"/>
      <c r="C204" s="44"/>
      <c r="D204" s="44"/>
      <c r="E204" s="44"/>
      <c r="F204" s="44"/>
      <c r="G204" s="44"/>
    </row>
    <row r="205" spans="1:7" x14ac:dyDescent="0.2">
      <c r="A205" s="43"/>
      <c r="B205" s="43"/>
      <c r="C205" s="43"/>
      <c r="D205" s="43"/>
      <c r="E205" s="43"/>
      <c r="F205" s="43"/>
      <c r="G205" s="43"/>
    </row>
    <row r="206" spans="1:7" x14ac:dyDescent="0.2">
      <c r="A206" s="44"/>
      <c r="B206" s="44"/>
      <c r="C206" s="44"/>
      <c r="D206" s="44"/>
      <c r="E206" s="44"/>
      <c r="F206" s="44"/>
      <c r="G206" s="44"/>
    </row>
    <row r="207" spans="1:7" x14ac:dyDescent="0.2">
      <c r="A207" s="43"/>
      <c r="B207" s="43"/>
      <c r="C207" s="43"/>
      <c r="D207" s="43"/>
      <c r="E207" s="43"/>
      <c r="F207" s="43"/>
      <c r="G207" s="43"/>
    </row>
    <row r="208" spans="1:7" x14ac:dyDescent="0.2">
      <c r="A208" s="44"/>
      <c r="B208" s="44"/>
      <c r="C208" s="44"/>
      <c r="D208" s="44"/>
      <c r="E208" s="44"/>
      <c r="F208" s="44"/>
      <c r="G208" s="44"/>
    </row>
    <row r="209" spans="1:7" x14ac:dyDescent="0.2">
      <c r="A209" s="43"/>
      <c r="B209" s="43"/>
      <c r="C209" s="43"/>
      <c r="D209" s="43"/>
      <c r="E209" s="43"/>
      <c r="F209" s="43"/>
      <c r="G209" s="43"/>
    </row>
    <row r="210" spans="1:7" x14ac:dyDescent="0.2">
      <c r="A210" s="44"/>
      <c r="B210" s="44"/>
      <c r="C210" s="44"/>
      <c r="D210" s="44"/>
      <c r="E210" s="44"/>
      <c r="F210" s="44"/>
      <c r="G210" s="44"/>
    </row>
    <row r="211" spans="1:7" x14ac:dyDescent="0.2">
      <c r="A211" s="43"/>
      <c r="B211" s="43"/>
      <c r="C211" s="43"/>
      <c r="D211" s="43"/>
      <c r="E211" s="43"/>
      <c r="F211" s="43"/>
      <c r="G211" s="43"/>
    </row>
    <row r="212" spans="1:7" x14ac:dyDescent="0.2">
      <c r="A212" s="44"/>
      <c r="B212" s="44"/>
      <c r="C212" s="44"/>
      <c r="D212" s="44"/>
      <c r="E212" s="44"/>
      <c r="F212" s="44"/>
      <c r="G212" s="44"/>
    </row>
    <row r="213" spans="1:7" x14ac:dyDescent="0.2">
      <c r="A213" s="43"/>
      <c r="B213" s="43"/>
      <c r="C213" s="43"/>
      <c r="D213" s="43"/>
      <c r="E213" s="43"/>
      <c r="F213" s="43"/>
      <c r="G213" s="43"/>
    </row>
    <row r="214" spans="1:7" x14ac:dyDescent="0.2">
      <c r="A214" s="44"/>
      <c r="B214" s="44"/>
      <c r="C214" s="44"/>
      <c r="D214" s="44"/>
      <c r="E214" s="44"/>
      <c r="F214" s="44"/>
      <c r="G214" s="44"/>
    </row>
    <row r="215" spans="1:7" x14ac:dyDescent="0.2">
      <c r="A215" s="43"/>
      <c r="B215" s="43"/>
      <c r="C215" s="43"/>
      <c r="D215" s="43"/>
      <c r="E215" s="43"/>
      <c r="F215" s="43"/>
      <c r="G215" s="43"/>
    </row>
    <row r="216" spans="1:7" x14ac:dyDescent="0.2">
      <c r="A216" s="44"/>
      <c r="B216" s="44"/>
      <c r="C216" s="44"/>
      <c r="D216" s="44"/>
      <c r="E216" s="44"/>
      <c r="F216" s="44"/>
      <c r="G216" s="44"/>
    </row>
    <row r="217" spans="1:7" x14ac:dyDescent="0.2">
      <c r="A217" s="43"/>
      <c r="B217" s="43"/>
      <c r="C217" s="43"/>
      <c r="D217" s="43"/>
      <c r="E217" s="43"/>
      <c r="F217" s="43"/>
      <c r="G217" s="43"/>
    </row>
    <row r="218" spans="1:7" x14ac:dyDescent="0.2">
      <c r="A218" s="44"/>
      <c r="B218" s="44"/>
      <c r="C218" s="44"/>
      <c r="D218" s="44"/>
      <c r="E218" s="44"/>
      <c r="F218" s="44"/>
      <c r="G218" s="44"/>
    </row>
    <row r="219" spans="1:7" x14ac:dyDescent="0.2">
      <c r="A219" s="43"/>
      <c r="B219" s="43"/>
      <c r="C219" s="43"/>
      <c r="D219" s="43"/>
      <c r="E219" s="43"/>
      <c r="F219" s="43"/>
      <c r="G219" s="43"/>
    </row>
    <row r="220" spans="1:7" x14ac:dyDescent="0.2">
      <c r="A220" s="44"/>
      <c r="B220" s="44"/>
      <c r="C220" s="44"/>
      <c r="D220" s="44"/>
      <c r="E220" s="44"/>
      <c r="F220" s="44"/>
      <c r="G220" s="44"/>
    </row>
    <row r="221" spans="1:7" x14ac:dyDescent="0.2">
      <c r="A221" s="43"/>
      <c r="B221" s="43"/>
      <c r="C221" s="43"/>
      <c r="D221" s="43"/>
      <c r="E221" s="43"/>
      <c r="F221" s="43"/>
      <c r="G221" s="43"/>
    </row>
    <row r="222" spans="1:7" x14ac:dyDescent="0.2">
      <c r="A222" s="44"/>
      <c r="B222" s="44"/>
      <c r="C222" s="44"/>
      <c r="D222" s="44"/>
      <c r="E222" s="44"/>
      <c r="F222" s="44"/>
      <c r="G222" s="44"/>
    </row>
    <row r="223" spans="1:7" x14ac:dyDescent="0.2">
      <c r="A223" s="43"/>
      <c r="B223" s="43"/>
      <c r="C223" s="43"/>
      <c r="D223" s="43"/>
      <c r="E223" s="43"/>
      <c r="F223" s="43"/>
      <c r="G223" s="43"/>
    </row>
    <row r="224" spans="1:7" x14ac:dyDescent="0.2">
      <c r="A224" s="44"/>
      <c r="B224" s="44"/>
      <c r="C224" s="44"/>
      <c r="D224" s="44"/>
      <c r="E224" s="44"/>
      <c r="F224" s="44"/>
      <c r="G224" s="44"/>
    </row>
    <row r="225" spans="1:7" x14ac:dyDescent="0.2">
      <c r="A225" s="43"/>
      <c r="B225" s="43"/>
      <c r="C225" s="43"/>
      <c r="D225" s="43"/>
      <c r="E225" s="43"/>
      <c r="F225" s="43"/>
      <c r="G225" s="43"/>
    </row>
    <row r="226" spans="1:7" x14ac:dyDescent="0.2">
      <c r="A226" s="44"/>
      <c r="B226" s="44"/>
      <c r="C226" s="44"/>
      <c r="D226" s="44"/>
      <c r="E226" s="44"/>
      <c r="F226" s="44"/>
      <c r="G226" s="44"/>
    </row>
    <row r="227" spans="1:7" x14ac:dyDescent="0.2">
      <c r="A227" s="43"/>
      <c r="B227" s="43"/>
      <c r="C227" s="43"/>
      <c r="D227" s="43"/>
      <c r="E227" s="43"/>
      <c r="F227" s="43"/>
      <c r="G227" s="43"/>
    </row>
    <row r="228" spans="1:7" x14ac:dyDescent="0.2">
      <c r="A228" s="44"/>
      <c r="B228" s="44"/>
      <c r="C228" s="44"/>
      <c r="D228" s="44"/>
      <c r="E228" s="44"/>
      <c r="F228" s="44"/>
      <c r="G228" s="44"/>
    </row>
    <row r="229" spans="1:7" x14ac:dyDescent="0.2">
      <c r="A229" s="43"/>
      <c r="B229" s="43"/>
      <c r="C229" s="43"/>
      <c r="D229" s="43"/>
      <c r="E229" s="43"/>
      <c r="F229" s="43"/>
      <c r="G229" s="43"/>
    </row>
    <row r="230" spans="1:7" x14ac:dyDescent="0.2">
      <c r="A230" s="44"/>
      <c r="B230" s="44"/>
      <c r="C230" s="44"/>
      <c r="D230" s="44"/>
      <c r="E230" s="44"/>
      <c r="F230" s="44"/>
      <c r="G230" s="44"/>
    </row>
    <row r="231" spans="1:7" x14ac:dyDescent="0.2">
      <c r="A231" s="43"/>
      <c r="B231" s="43"/>
      <c r="C231" s="43"/>
      <c r="D231" s="43"/>
      <c r="E231" s="43"/>
      <c r="F231" s="43"/>
      <c r="G231" s="43"/>
    </row>
    <row r="232" spans="1:7" x14ac:dyDescent="0.2">
      <c r="A232" s="44"/>
      <c r="B232" s="44"/>
      <c r="C232" s="44"/>
      <c r="D232" s="44"/>
      <c r="E232" s="44"/>
      <c r="F232" s="44"/>
      <c r="G232" s="44"/>
    </row>
    <row r="233" spans="1:7" x14ac:dyDescent="0.2">
      <c r="A233" s="43"/>
      <c r="B233" s="43"/>
      <c r="C233" s="43"/>
      <c r="D233" s="43"/>
      <c r="E233" s="43"/>
      <c r="F233" s="43"/>
      <c r="G233" s="43"/>
    </row>
    <row r="234" spans="1:7" x14ac:dyDescent="0.2">
      <c r="A234" s="44"/>
      <c r="B234" s="44"/>
      <c r="C234" s="44"/>
      <c r="D234" s="44"/>
      <c r="E234" s="44"/>
      <c r="F234" s="44"/>
      <c r="G234" s="44"/>
    </row>
    <row r="235" spans="1:7" x14ac:dyDescent="0.2">
      <c r="A235" s="43"/>
      <c r="B235" s="43"/>
      <c r="C235" s="43"/>
      <c r="D235" s="43"/>
      <c r="E235" s="43"/>
      <c r="F235" s="43"/>
      <c r="G235" s="43"/>
    </row>
    <row r="236" spans="1:7" x14ac:dyDescent="0.2">
      <c r="A236" s="44"/>
      <c r="B236" s="44"/>
      <c r="C236" s="44"/>
      <c r="D236" s="44"/>
      <c r="E236" s="44"/>
      <c r="F236" s="44"/>
      <c r="G236" s="44"/>
    </row>
    <row r="237" spans="1:7" x14ac:dyDescent="0.2">
      <c r="A237" s="43"/>
      <c r="B237" s="43"/>
      <c r="C237" s="43"/>
      <c r="D237" s="43"/>
      <c r="E237" s="43"/>
      <c r="F237" s="43"/>
      <c r="G237" s="43"/>
    </row>
    <row r="238" spans="1:7" x14ac:dyDescent="0.2">
      <c r="A238" s="44"/>
      <c r="B238" s="44"/>
      <c r="C238" s="44"/>
      <c r="D238" s="44"/>
      <c r="E238" s="44"/>
      <c r="F238" s="44"/>
      <c r="G238" s="44"/>
    </row>
    <row r="239" spans="1:7" x14ac:dyDescent="0.2">
      <c r="A239" s="43"/>
      <c r="B239" s="43"/>
      <c r="C239" s="43"/>
      <c r="D239" s="43"/>
      <c r="E239" s="43"/>
      <c r="F239" s="43"/>
      <c r="G239" s="43"/>
    </row>
    <row r="240" spans="1:7" x14ac:dyDescent="0.2">
      <c r="A240" s="44"/>
      <c r="B240" s="44"/>
      <c r="C240" s="44"/>
      <c r="D240" s="44"/>
      <c r="E240" s="44"/>
      <c r="F240" s="44"/>
      <c r="G240" s="44"/>
    </row>
    <row r="241" spans="1:7" x14ac:dyDescent="0.2">
      <c r="A241" s="43"/>
      <c r="B241" s="43"/>
      <c r="C241" s="43"/>
      <c r="D241" s="43"/>
      <c r="E241" s="43"/>
      <c r="F241" s="43"/>
      <c r="G241" s="43"/>
    </row>
    <row r="242" spans="1:7" x14ac:dyDescent="0.2">
      <c r="A242" s="44"/>
      <c r="B242" s="44"/>
      <c r="C242" s="44"/>
      <c r="D242" s="44"/>
      <c r="E242" s="44"/>
      <c r="F242" s="44"/>
      <c r="G242" s="44"/>
    </row>
    <row r="243" spans="1:7" x14ac:dyDescent="0.2">
      <c r="A243" s="43"/>
      <c r="B243" s="43"/>
      <c r="C243" s="43"/>
      <c r="D243" s="43"/>
      <c r="E243" s="43"/>
      <c r="F243" s="43"/>
      <c r="G243" s="43"/>
    </row>
    <row r="244" spans="1:7" x14ac:dyDescent="0.2">
      <c r="A244" s="44"/>
      <c r="B244" s="44"/>
      <c r="C244" s="44"/>
      <c r="D244" s="44"/>
      <c r="E244" s="44"/>
      <c r="F244" s="44"/>
      <c r="G244" s="44"/>
    </row>
    <row r="245" spans="1:7" x14ac:dyDescent="0.2">
      <c r="A245" s="43"/>
      <c r="B245" s="43"/>
      <c r="C245" s="43"/>
      <c r="D245" s="43"/>
      <c r="E245" s="43"/>
      <c r="F245" s="43"/>
      <c r="G245" s="43"/>
    </row>
    <row r="246" spans="1:7" x14ac:dyDescent="0.2">
      <c r="A246" s="44"/>
      <c r="B246" s="44"/>
      <c r="C246" s="44"/>
      <c r="D246" s="44"/>
      <c r="E246" s="44"/>
      <c r="F246" s="44"/>
      <c r="G246" s="44"/>
    </row>
    <row r="247" spans="1:7" x14ac:dyDescent="0.2">
      <c r="A247" s="43"/>
      <c r="B247" s="43"/>
      <c r="C247" s="43"/>
      <c r="D247" s="43"/>
      <c r="E247" s="43"/>
      <c r="F247" s="43"/>
      <c r="G247" s="43"/>
    </row>
    <row r="248" spans="1:7" x14ac:dyDescent="0.2">
      <c r="A248" s="44"/>
      <c r="B248" s="44"/>
      <c r="C248" s="44"/>
      <c r="D248" s="44"/>
      <c r="E248" s="44"/>
      <c r="F248" s="44"/>
      <c r="G248" s="44"/>
    </row>
    <row r="249" spans="1:7" x14ac:dyDescent="0.2">
      <c r="A249" s="43"/>
      <c r="B249" s="43"/>
      <c r="C249" s="43"/>
      <c r="D249" s="43"/>
      <c r="E249" s="43"/>
      <c r="F249" s="43"/>
      <c r="G249" s="43"/>
    </row>
    <row r="250" spans="1:7" x14ac:dyDescent="0.2">
      <c r="A250" s="44"/>
      <c r="B250" s="44"/>
      <c r="C250" s="44"/>
      <c r="D250" s="44"/>
      <c r="E250" s="44"/>
      <c r="F250" s="44"/>
      <c r="G250" s="44"/>
    </row>
    <row r="251" spans="1:7" x14ac:dyDescent="0.2">
      <c r="A251" s="43"/>
      <c r="B251" s="43"/>
      <c r="C251" s="43"/>
      <c r="D251" s="43"/>
      <c r="E251" s="43"/>
      <c r="F251" s="43"/>
      <c r="G251" s="43"/>
    </row>
    <row r="252" spans="1:7" x14ac:dyDescent="0.2">
      <c r="A252" s="44"/>
      <c r="B252" s="44"/>
      <c r="C252" s="44"/>
      <c r="D252" s="44"/>
      <c r="E252" s="44"/>
      <c r="F252" s="44"/>
      <c r="G252" s="44"/>
    </row>
    <row r="253" spans="1:7" x14ac:dyDescent="0.2">
      <c r="A253" s="43"/>
      <c r="B253" s="43"/>
      <c r="C253" s="43"/>
      <c r="D253" s="43"/>
      <c r="E253" s="43"/>
      <c r="F253" s="43"/>
      <c r="G253" s="43"/>
    </row>
    <row r="254" spans="1:7" x14ac:dyDescent="0.2">
      <c r="A254" s="44"/>
      <c r="B254" s="44"/>
      <c r="C254" s="44"/>
      <c r="D254" s="44"/>
      <c r="E254" s="44"/>
      <c r="F254" s="44"/>
      <c r="G254" s="44"/>
    </row>
    <row r="255" spans="1:7" x14ac:dyDescent="0.2">
      <c r="A255" s="43"/>
      <c r="B255" s="43"/>
      <c r="C255" s="43"/>
      <c r="D255" s="43"/>
      <c r="E255" s="43"/>
      <c r="F255" s="43"/>
      <c r="G255" s="43"/>
    </row>
    <row r="256" spans="1:7" x14ac:dyDescent="0.2">
      <c r="A256" s="44"/>
      <c r="B256" s="44"/>
      <c r="C256" s="44"/>
      <c r="D256" s="44"/>
      <c r="E256" s="44"/>
      <c r="F256" s="44"/>
      <c r="G256" s="44"/>
    </row>
    <row r="257" spans="1:7" x14ac:dyDescent="0.2">
      <c r="A257" s="43"/>
      <c r="B257" s="43"/>
      <c r="C257" s="43"/>
      <c r="D257" s="43"/>
      <c r="E257" s="43"/>
      <c r="F257" s="43"/>
      <c r="G257" s="43"/>
    </row>
    <row r="258" spans="1:7" x14ac:dyDescent="0.2">
      <c r="A258" s="44"/>
      <c r="B258" s="44"/>
      <c r="C258" s="44"/>
      <c r="D258" s="44"/>
      <c r="E258" s="44"/>
      <c r="F258" s="44"/>
      <c r="G258" s="44"/>
    </row>
    <row r="259" spans="1:7" x14ac:dyDescent="0.2">
      <c r="A259" s="43"/>
      <c r="B259" s="43"/>
      <c r="C259" s="43"/>
      <c r="D259" s="43"/>
      <c r="E259" s="43"/>
      <c r="F259" s="43"/>
      <c r="G259" s="43"/>
    </row>
    <row r="260" spans="1:7" x14ac:dyDescent="0.2">
      <c r="A260" s="44"/>
      <c r="B260" s="44"/>
      <c r="C260" s="44"/>
      <c r="D260" s="44"/>
      <c r="E260" s="44"/>
      <c r="F260" s="44"/>
      <c r="G260" s="44"/>
    </row>
    <row r="261" spans="1:7" x14ac:dyDescent="0.2">
      <c r="A261" s="43"/>
      <c r="B261" s="43"/>
      <c r="C261" s="43"/>
      <c r="D261" s="43"/>
      <c r="E261" s="43"/>
      <c r="F261" s="43"/>
      <c r="G261" s="43"/>
    </row>
    <row r="262" spans="1:7" x14ac:dyDescent="0.2">
      <c r="A262" s="44"/>
      <c r="B262" s="44"/>
      <c r="C262" s="44"/>
      <c r="D262" s="44"/>
      <c r="E262" s="44"/>
      <c r="F262" s="44"/>
      <c r="G262" s="44"/>
    </row>
    <row r="263" spans="1:7" x14ac:dyDescent="0.2">
      <c r="A263" s="43"/>
      <c r="B263" s="43"/>
      <c r="C263" s="43"/>
      <c r="D263" s="43"/>
      <c r="E263" s="43"/>
      <c r="F263" s="43"/>
      <c r="G263" s="43"/>
    </row>
    <row r="264" spans="1:7" x14ac:dyDescent="0.2">
      <c r="A264" s="44"/>
      <c r="B264" s="44"/>
      <c r="C264" s="44"/>
      <c r="D264" s="44"/>
      <c r="E264" s="44"/>
      <c r="F264" s="44"/>
      <c r="G264" s="44"/>
    </row>
    <row r="265" spans="1:7" x14ac:dyDescent="0.2">
      <c r="A265" s="43"/>
      <c r="B265" s="43"/>
      <c r="C265" s="43"/>
      <c r="D265" s="43"/>
      <c r="E265" s="43"/>
      <c r="F265" s="43"/>
      <c r="G265" s="43"/>
    </row>
    <row r="266" spans="1:7" x14ac:dyDescent="0.2">
      <c r="A266" s="44"/>
      <c r="B266" s="44"/>
      <c r="C266" s="44"/>
      <c r="D266" s="44"/>
      <c r="E266" s="44"/>
      <c r="F266" s="44"/>
      <c r="G266" s="44"/>
    </row>
    <row r="267" spans="1:7" x14ac:dyDescent="0.2">
      <c r="A267" s="43"/>
      <c r="B267" s="43"/>
      <c r="C267" s="43"/>
      <c r="D267" s="43"/>
      <c r="E267" s="43"/>
      <c r="F267" s="43"/>
      <c r="G267" s="43"/>
    </row>
    <row r="268" spans="1:7" x14ac:dyDescent="0.2">
      <c r="A268" s="44"/>
      <c r="B268" s="44"/>
      <c r="C268" s="44"/>
      <c r="D268" s="44"/>
      <c r="E268" s="44"/>
      <c r="F268" s="44"/>
      <c r="G268" s="44"/>
    </row>
    <row r="269" spans="1:7" x14ac:dyDescent="0.2">
      <c r="A269" s="43"/>
      <c r="B269" s="43"/>
      <c r="C269" s="43"/>
      <c r="D269" s="43"/>
      <c r="E269" s="43"/>
      <c r="F269" s="43"/>
      <c r="G269" s="43"/>
    </row>
    <row r="270" spans="1:7" x14ac:dyDescent="0.2">
      <c r="A270" s="44"/>
      <c r="B270" s="44"/>
      <c r="C270" s="44"/>
      <c r="D270" s="44"/>
      <c r="E270" s="44"/>
      <c r="F270" s="44"/>
      <c r="G270" s="44"/>
    </row>
    <row r="271" spans="1:7" x14ac:dyDescent="0.2">
      <c r="A271" s="43"/>
      <c r="B271" s="43"/>
      <c r="C271" s="43"/>
      <c r="D271" s="43"/>
      <c r="E271" s="43"/>
      <c r="F271" s="43"/>
      <c r="G271" s="43"/>
    </row>
    <row r="272" spans="1:7" x14ac:dyDescent="0.2">
      <c r="A272" s="44"/>
      <c r="B272" s="44"/>
      <c r="C272" s="44"/>
      <c r="D272" s="44"/>
      <c r="E272" s="44"/>
      <c r="F272" s="44"/>
      <c r="G272" s="44"/>
    </row>
    <row r="273" spans="1:7" x14ac:dyDescent="0.2">
      <c r="A273" s="43"/>
      <c r="B273" s="43"/>
      <c r="C273" s="43"/>
      <c r="D273" s="43"/>
      <c r="E273" s="43"/>
      <c r="F273" s="43"/>
      <c r="G273" s="43"/>
    </row>
    <row r="274" spans="1:7" x14ac:dyDescent="0.2">
      <c r="A274" s="44"/>
      <c r="B274" s="44"/>
      <c r="C274" s="44"/>
      <c r="D274" s="44"/>
      <c r="E274" s="44"/>
      <c r="F274" s="44"/>
      <c r="G274" s="44"/>
    </row>
    <row r="275" spans="1:7" x14ac:dyDescent="0.2">
      <c r="A275" s="43"/>
      <c r="B275" s="43"/>
      <c r="C275" s="43"/>
      <c r="D275" s="43"/>
      <c r="E275" s="43"/>
      <c r="F275" s="43"/>
      <c r="G275" s="43"/>
    </row>
    <row r="276" spans="1:7" x14ac:dyDescent="0.2">
      <c r="A276" s="44"/>
      <c r="B276" s="44"/>
      <c r="C276" s="44"/>
      <c r="D276" s="44"/>
      <c r="E276" s="44"/>
      <c r="F276" s="44"/>
      <c r="G276" s="44"/>
    </row>
    <row r="277" spans="1:7" x14ac:dyDescent="0.2">
      <c r="A277" s="43"/>
      <c r="B277" s="43"/>
      <c r="C277" s="43"/>
      <c r="D277" s="43"/>
      <c r="E277" s="43"/>
      <c r="F277" s="43"/>
      <c r="G277" s="43"/>
    </row>
    <row r="278" spans="1:7" x14ac:dyDescent="0.2">
      <c r="A278" s="44"/>
      <c r="B278" s="44"/>
      <c r="C278" s="44"/>
      <c r="D278" s="44"/>
      <c r="E278" s="44"/>
      <c r="F278" s="44"/>
      <c r="G278" s="44"/>
    </row>
    <row r="279" spans="1:7" x14ac:dyDescent="0.2">
      <c r="A279" s="43"/>
      <c r="B279" s="43"/>
      <c r="C279" s="43"/>
      <c r="D279" s="43"/>
      <c r="E279" s="43"/>
      <c r="F279" s="43"/>
      <c r="G279" s="43"/>
    </row>
    <row r="280" spans="1:7" x14ac:dyDescent="0.2">
      <c r="A280" s="44"/>
      <c r="B280" s="44"/>
      <c r="C280" s="44"/>
      <c r="D280" s="44"/>
      <c r="E280" s="44"/>
      <c r="F280" s="44"/>
      <c r="G280" s="44"/>
    </row>
    <row r="281" spans="1:7" x14ac:dyDescent="0.2">
      <c r="A281" s="43"/>
      <c r="B281" s="43"/>
      <c r="C281" s="43"/>
      <c r="D281" s="43"/>
      <c r="E281" s="43"/>
      <c r="F281" s="43"/>
      <c r="G281" s="43"/>
    </row>
    <row r="282" spans="1:7" x14ac:dyDescent="0.2">
      <c r="A282" s="44"/>
      <c r="B282" s="44"/>
      <c r="C282" s="44"/>
      <c r="D282" s="44"/>
      <c r="E282" s="44"/>
      <c r="F282" s="44"/>
      <c r="G282" s="44"/>
    </row>
    <row r="283" spans="1:7" x14ac:dyDescent="0.2">
      <c r="A283" s="43"/>
      <c r="B283" s="43"/>
      <c r="C283" s="43"/>
      <c r="D283" s="43"/>
      <c r="E283" s="43"/>
      <c r="F283" s="43"/>
      <c r="G283" s="43"/>
    </row>
    <row r="284" spans="1:7" x14ac:dyDescent="0.2">
      <c r="A284" s="44"/>
      <c r="B284" s="44"/>
      <c r="C284" s="44"/>
      <c r="D284" s="44"/>
      <c r="E284" s="44"/>
      <c r="F284" s="44"/>
      <c r="G284" s="44"/>
    </row>
    <row r="285" spans="1:7" x14ac:dyDescent="0.2">
      <c r="A285" s="43"/>
      <c r="B285" s="43"/>
      <c r="C285" s="43"/>
      <c r="D285" s="43"/>
      <c r="E285" s="43"/>
      <c r="F285" s="43"/>
      <c r="G285" s="43"/>
    </row>
    <row r="286" spans="1:7" x14ac:dyDescent="0.2">
      <c r="A286" s="44"/>
      <c r="B286" s="44"/>
      <c r="C286" s="44"/>
      <c r="D286" s="44"/>
      <c r="E286" s="44"/>
      <c r="F286" s="44"/>
      <c r="G286" s="44"/>
    </row>
    <row r="287" spans="1:7" x14ac:dyDescent="0.2">
      <c r="A287" s="43"/>
      <c r="B287" s="43"/>
      <c r="C287" s="43"/>
      <c r="D287" s="43"/>
      <c r="E287" s="43"/>
      <c r="F287" s="43"/>
      <c r="G287" s="43"/>
    </row>
    <row r="288" spans="1:7" x14ac:dyDescent="0.2">
      <c r="A288" s="44"/>
      <c r="B288" s="44"/>
      <c r="C288" s="44"/>
      <c r="D288" s="44"/>
      <c r="E288" s="44"/>
      <c r="F288" s="44"/>
      <c r="G288" s="44"/>
    </row>
    <row r="289" spans="1:7" x14ac:dyDescent="0.2">
      <c r="A289" s="43"/>
      <c r="B289" s="43"/>
      <c r="C289" s="43"/>
      <c r="D289" s="43"/>
      <c r="E289" s="43"/>
      <c r="F289" s="43"/>
      <c r="G289" s="43"/>
    </row>
    <row r="290" spans="1:7" x14ac:dyDescent="0.2">
      <c r="A290" s="44"/>
      <c r="B290" s="44"/>
      <c r="C290" s="44"/>
      <c r="D290" s="44"/>
      <c r="E290" s="44"/>
      <c r="F290" s="44"/>
      <c r="G290" s="44"/>
    </row>
    <row r="291" spans="1:7" x14ac:dyDescent="0.2">
      <c r="A291" s="43"/>
      <c r="B291" s="43"/>
      <c r="C291" s="43"/>
      <c r="D291" s="43"/>
      <c r="E291" s="43"/>
      <c r="F291" s="43"/>
      <c r="G291" s="43"/>
    </row>
    <row r="292" spans="1:7" x14ac:dyDescent="0.2">
      <c r="A292" s="44"/>
      <c r="B292" s="44"/>
      <c r="C292" s="44"/>
      <c r="D292" s="44"/>
      <c r="E292" s="44"/>
      <c r="F292" s="44"/>
      <c r="G292" s="44"/>
    </row>
    <row r="293" spans="1:7" x14ac:dyDescent="0.2">
      <c r="A293" s="43"/>
      <c r="B293" s="43"/>
      <c r="C293" s="43"/>
      <c r="D293" s="43"/>
      <c r="E293" s="43"/>
      <c r="F293" s="43"/>
      <c r="G293" s="43"/>
    </row>
    <row r="294" spans="1:7" x14ac:dyDescent="0.2">
      <c r="A294" s="44"/>
      <c r="B294" s="44"/>
      <c r="C294" s="44"/>
      <c r="D294" s="44"/>
      <c r="E294" s="44"/>
      <c r="F294" s="44"/>
      <c r="G294" s="44"/>
    </row>
    <row r="295" spans="1:7" x14ac:dyDescent="0.2">
      <c r="A295" s="43"/>
      <c r="B295" s="43"/>
      <c r="C295" s="43"/>
      <c r="D295" s="43"/>
      <c r="E295" s="43"/>
      <c r="F295" s="43"/>
      <c r="G295" s="43"/>
    </row>
    <row r="296" spans="1:7" x14ac:dyDescent="0.2">
      <c r="A296" s="44"/>
      <c r="B296" s="44"/>
      <c r="C296" s="44"/>
      <c r="D296" s="44"/>
      <c r="E296" s="44"/>
      <c r="F296" s="44"/>
      <c r="G296" s="44"/>
    </row>
    <row r="297" spans="1:7" x14ac:dyDescent="0.2">
      <c r="A297" s="43"/>
      <c r="B297" s="43"/>
      <c r="C297" s="43"/>
      <c r="D297" s="43"/>
      <c r="E297" s="43"/>
      <c r="F297" s="43"/>
      <c r="G297" s="43"/>
    </row>
    <row r="298" spans="1:7" x14ac:dyDescent="0.2">
      <c r="A298" s="44"/>
      <c r="B298" s="44"/>
      <c r="C298" s="44"/>
      <c r="D298" s="44"/>
      <c r="E298" s="44"/>
      <c r="F298" s="44"/>
      <c r="G298" s="44"/>
    </row>
    <row r="299" spans="1:7" x14ac:dyDescent="0.2">
      <c r="A299" s="43"/>
      <c r="B299" s="43"/>
      <c r="C299" s="43"/>
      <c r="D299" s="43"/>
      <c r="E299" s="43"/>
      <c r="F299" s="43"/>
      <c r="G299" s="43"/>
    </row>
    <row r="300" spans="1:7" x14ac:dyDescent="0.2">
      <c r="A300" s="44"/>
      <c r="B300" s="44"/>
      <c r="C300" s="44"/>
      <c r="D300" s="44"/>
      <c r="E300" s="44"/>
      <c r="F300" s="44"/>
      <c r="G300" s="44"/>
    </row>
    <row r="301" spans="1:7" x14ac:dyDescent="0.2">
      <c r="A301" s="43"/>
      <c r="B301" s="43"/>
      <c r="C301" s="43"/>
      <c r="D301" s="43"/>
      <c r="E301" s="43"/>
      <c r="F301" s="43"/>
      <c r="G301" s="43"/>
    </row>
    <row r="302" spans="1:7" x14ac:dyDescent="0.2">
      <c r="A302" s="44"/>
      <c r="B302" s="44"/>
      <c r="C302" s="44"/>
      <c r="D302" s="44"/>
      <c r="E302" s="44"/>
      <c r="F302" s="44"/>
      <c r="G302" s="44"/>
    </row>
    <row r="303" spans="1:7" x14ac:dyDescent="0.2">
      <c r="A303" s="43"/>
      <c r="B303" s="43"/>
      <c r="C303" s="43"/>
      <c r="D303" s="43"/>
      <c r="E303" s="43"/>
      <c r="F303" s="43"/>
      <c r="G303" s="43"/>
    </row>
    <row r="304" spans="1:7" x14ac:dyDescent="0.2">
      <c r="A304" s="44"/>
      <c r="B304" s="44"/>
      <c r="C304" s="44"/>
      <c r="D304" s="44"/>
      <c r="E304" s="44"/>
      <c r="F304" s="44"/>
      <c r="G304" s="44"/>
    </row>
    <row r="305" spans="1:7" x14ac:dyDescent="0.2">
      <c r="A305" s="43"/>
      <c r="B305" s="43"/>
      <c r="C305" s="43"/>
      <c r="D305" s="43"/>
      <c r="E305" s="43"/>
      <c r="F305" s="43"/>
      <c r="G305" s="43"/>
    </row>
    <row r="306" spans="1:7" x14ac:dyDescent="0.2">
      <c r="A306" s="44"/>
      <c r="B306" s="44"/>
      <c r="C306" s="44"/>
      <c r="D306" s="44"/>
      <c r="E306" s="44"/>
      <c r="F306" s="44"/>
      <c r="G306" s="44"/>
    </row>
    <row r="307" spans="1:7" x14ac:dyDescent="0.2">
      <c r="A307" s="43"/>
      <c r="B307" s="43"/>
      <c r="C307" s="43"/>
      <c r="D307" s="43"/>
      <c r="E307" s="43"/>
      <c r="F307" s="43"/>
      <c r="G307" s="43"/>
    </row>
    <row r="308" spans="1:7" x14ac:dyDescent="0.2">
      <c r="A308" s="44"/>
      <c r="B308" s="44"/>
      <c r="C308" s="44"/>
      <c r="D308" s="44"/>
      <c r="E308" s="44"/>
      <c r="F308" s="44"/>
      <c r="G308" s="44"/>
    </row>
    <row r="309" spans="1:7" x14ac:dyDescent="0.2">
      <c r="A309" s="43"/>
      <c r="B309" s="43"/>
      <c r="C309" s="43"/>
      <c r="D309" s="43"/>
      <c r="E309" s="43"/>
      <c r="F309" s="43"/>
      <c r="G309" s="43"/>
    </row>
    <row r="310" spans="1:7" x14ac:dyDescent="0.2">
      <c r="A310" s="44"/>
      <c r="B310" s="44"/>
      <c r="C310" s="44"/>
      <c r="D310" s="44"/>
      <c r="E310" s="44"/>
      <c r="F310" s="44"/>
      <c r="G310" s="44"/>
    </row>
    <row r="311" spans="1:7" x14ac:dyDescent="0.2">
      <c r="A311" s="43"/>
      <c r="B311" s="43"/>
      <c r="C311" s="43"/>
      <c r="D311" s="43"/>
      <c r="E311" s="43"/>
      <c r="F311" s="43"/>
      <c r="G311" s="43"/>
    </row>
    <row r="312" spans="1:7" x14ac:dyDescent="0.2">
      <c r="A312" s="44"/>
      <c r="B312" s="44"/>
      <c r="C312" s="44"/>
      <c r="D312" s="44"/>
      <c r="E312" s="44"/>
      <c r="F312" s="44"/>
      <c r="G312" s="44"/>
    </row>
    <row r="313" spans="1:7" x14ac:dyDescent="0.2">
      <c r="A313" s="43"/>
      <c r="B313" s="43"/>
      <c r="C313" s="43"/>
      <c r="D313" s="43"/>
      <c r="E313" s="43"/>
      <c r="F313" s="43"/>
      <c r="G313" s="43"/>
    </row>
    <row r="314" spans="1:7" x14ac:dyDescent="0.2">
      <c r="A314" s="44"/>
      <c r="B314" s="44"/>
      <c r="C314" s="44"/>
      <c r="D314" s="44"/>
      <c r="E314" s="44"/>
      <c r="F314" s="44"/>
      <c r="G314" s="44"/>
    </row>
    <row r="315" spans="1:7" x14ac:dyDescent="0.2">
      <c r="A315" s="43"/>
      <c r="B315" s="43"/>
      <c r="C315" s="43"/>
      <c r="D315" s="43"/>
      <c r="E315" s="43"/>
      <c r="F315" s="43"/>
      <c r="G315" s="43"/>
    </row>
    <row r="316" spans="1:7" x14ac:dyDescent="0.2">
      <c r="A316" s="44"/>
      <c r="B316" s="44"/>
      <c r="C316" s="44"/>
      <c r="D316" s="44"/>
      <c r="E316" s="44"/>
      <c r="F316" s="44"/>
      <c r="G316" s="44"/>
    </row>
    <row r="317" spans="1:7" x14ac:dyDescent="0.2">
      <c r="A317" s="43"/>
      <c r="B317" s="43"/>
      <c r="C317" s="43"/>
      <c r="D317" s="43"/>
      <c r="E317" s="43"/>
      <c r="F317" s="43"/>
      <c r="G317" s="43"/>
    </row>
    <row r="318" spans="1:7" x14ac:dyDescent="0.2">
      <c r="A318" s="44"/>
      <c r="B318" s="44"/>
      <c r="C318" s="44"/>
      <c r="D318" s="44"/>
      <c r="E318" s="44"/>
      <c r="F318" s="44"/>
      <c r="G318" s="44"/>
    </row>
    <row r="319" spans="1:7" x14ac:dyDescent="0.2">
      <c r="A319" s="43"/>
      <c r="B319" s="43"/>
      <c r="C319" s="43"/>
      <c r="D319" s="43"/>
      <c r="E319" s="43"/>
      <c r="F319" s="43"/>
      <c r="G319" s="43"/>
    </row>
    <row r="320" spans="1:7" x14ac:dyDescent="0.2">
      <c r="A320" s="44"/>
      <c r="B320" s="44"/>
      <c r="C320" s="44"/>
      <c r="D320" s="44"/>
      <c r="E320" s="44"/>
      <c r="F320" s="44"/>
      <c r="G320" s="44"/>
    </row>
    <row r="321" spans="1:7" x14ac:dyDescent="0.2">
      <c r="A321" s="43"/>
      <c r="B321" s="43"/>
      <c r="C321" s="43"/>
      <c r="D321" s="43"/>
      <c r="E321" s="43"/>
      <c r="F321" s="43"/>
      <c r="G321" s="43"/>
    </row>
    <row r="322" spans="1:7" x14ac:dyDescent="0.2">
      <c r="A322" s="44"/>
      <c r="B322" s="44"/>
      <c r="C322" s="44"/>
      <c r="D322" s="44"/>
      <c r="E322" s="44"/>
      <c r="F322" s="44"/>
      <c r="G322" s="44"/>
    </row>
    <row r="323" spans="1:7" x14ac:dyDescent="0.2">
      <c r="A323" s="43"/>
      <c r="B323" s="43"/>
      <c r="C323" s="43"/>
      <c r="D323" s="43"/>
      <c r="E323" s="43"/>
      <c r="F323" s="43"/>
      <c r="G323" s="43"/>
    </row>
    <row r="324" spans="1:7" x14ac:dyDescent="0.2">
      <c r="A324" s="44"/>
      <c r="B324" s="44"/>
      <c r="C324" s="44"/>
      <c r="D324" s="44"/>
      <c r="E324" s="44"/>
      <c r="F324" s="44"/>
      <c r="G324" s="44"/>
    </row>
    <row r="325" spans="1:7" x14ac:dyDescent="0.2">
      <c r="A325" s="43"/>
      <c r="B325" s="43"/>
      <c r="C325" s="43"/>
      <c r="D325" s="43"/>
      <c r="E325" s="43"/>
      <c r="F325" s="43"/>
      <c r="G325" s="43"/>
    </row>
    <row r="326" spans="1:7" x14ac:dyDescent="0.2">
      <c r="A326" s="44"/>
      <c r="B326" s="44"/>
      <c r="C326" s="44"/>
      <c r="D326" s="44"/>
      <c r="E326" s="44"/>
      <c r="F326" s="44"/>
      <c r="G326" s="44"/>
    </row>
    <row r="327" spans="1:7" x14ac:dyDescent="0.2">
      <c r="A327" s="43"/>
      <c r="B327" s="43"/>
      <c r="C327" s="43"/>
      <c r="D327" s="43"/>
      <c r="E327" s="43"/>
      <c r="F327" s="43"/>
      <c r="G327" s="43"/>
    </row>
    <row r="328" spans="1:7" x14ac:dyDescent="0.2">
      <c r="A328" s="44"/>
      <c r="B328" s="44"/>
      <c r="C328" s="44"/>
      <c r="D328" s="44"/>
      <c r="E328" s="44"/>
      <c r="F328" s="44"/>
      <c r="G328" s="44"/>
    </row>
    <row r="329" spans="1:7" x14ac:dyDescent="0.2">
      <c r="A329" s="43"/>
      <c r="B329" s="43"/>
      <c r="C329" s="43"/>
      <c r="D329" s="43"/>
      <c r="E329" s="43"/>
      <c r="F329" s="43"/>
      <c r="G329" s="43"/>
    </row>
    <row r="330" spans="1:7" x14ac:dyDescent="0.2">
      <c r="A330" s="44"/>
      <c r="B330" s="44"/>
      <c r="C330" s="44"/>
      <c r="D330" s="44"/>
      <c r="E330" s="44"/>
      <c r="F330" s="44"/>
      <c r="G330" s="44"/>
    </row>
    <row r="331" spans="1:7" x14ac:dyDescent="0.2">
      <c r="A331" s="43"/>
      <c r="B331" s="43"/>
      <c r="C331" s="43"/>
      <c r="D331" s="43"/>
      <c r="E331" s="43"/>
      <c r="F331" s="43"/>
      <c r="G331" s="43"/>
    </row>
    <row r="332" spans="1:7" x14ac:dyDescent="0.2">
      <c r="A332" s="44"/>
      <c r="B332" s="44"/>
      <c r="C332" s="44"/>
      <c r="D332" s="44"/>
      <c r="E332" s="44"/>
      <c r="F332" s="44"/>
      <c r="G332" s="44"/>
    </row>
    <row r="333" spans="1:7" x14ac:dyDescent="0.2">
      <c r="A333" s="43"/>
      <c r="B333" s="43"/>
      <c r="C333" s="43"/>
      <c r="D333" s="43"/>
      <c r="E333" s="43"/>
      <c r="F333" s="43"/>
      <c r="G333" s="43"/>
    </row>
    <row r="334" spans="1:7" x14ac:dyDescent="0.2">
      <c r="A334" s="44"/>
      <c r="B334" s="44"/>
      <c r="C334" s="44"/>
      <c r="D334" s="44"/>
      <c r="E334" s="44"/>
      <c r="F334" s="44"/>
      <c r="G334" s="44"/>
    </row>
    <row r="335" spans="1:7" x14ac:dyDescent="0.2">
      <c r="A335" s="43"/>
      <c r="B335" s="43"/>
      <c r="C335" s="43"/>
      <c r="D335" s="43"/>
      <c r="E335" s="43"/>
      <c r="F335" s="43"/>
      <c r="G335" s="43"/>
    </row>
    <row r="336" spans="1:7" x14ac:dyDescent="0.2">
      <c r="A336" s="44"/>
      <c r="B336" s="44"/>
      <c r="C336" s="44"/>
      <c r="D336" s="44"/>
      <c r="E336" s="44"/>
      <c r="F336" s="44"/>
      <c r="G336" s="44"/>
    </row>
    <row r="337" spans="1:7" x14ac:dyDescent="0.2">
      <c r="A337" s="43"/>
      <c r="B337" s="43"/>
      <c r="C337" s="43"/>
      <c r="D337" s="43"/>
      <c r="E337" s="43"/>
      <c r="F337" s="43"/>
      <c r="G337" s="43"/>
    </row>
    <row r="338" spans="1:7" x14ac:dyDescent="0.2">
      <c r="A338" s="44"/>
      <c r="B338" s="44"/>
      <c r="C338" s="44"/>
      <c r="D338" s="44"/>
      <c r="E338" s="44"/>
      <c r="F338" s="44"/>
      <c r="G338" s="44"/>
    </row>
    <row r="339" spans="1:7" x14ac:dyDescent="0.2">
      <c r="A339" s="43"/>
      <c r="B339" s="43"/>
      <c r="C339" s="43"/>
      <c r="D339" s="43"/>
      <c r="E339" s="43"/>
      <c r="F339" s="43"/>
      <c r="G339" s="43"/>
    </row>
    <row r="340" spans="1:7" x14ac:dyDescent="0.2">
      <c r="A340" s="44"/>
      <c r="B340" s="44"/>
      <c r="C340" s="44"/>
      <c r="D340" s="44"/>
      <c r="E340" s="44"/>
      <c r="F340" s="44"/>
      <c r="G340" s="44"/>
    </row>
    <row r="341" spans="1:7" x14ac:dyDescent="0.2">
      <c r="A341" s="43"/>
      <c r="B341" s="43"/>
      <c r="C341" s="43"/>
      <c r="D341" s="43"/>
      <c r="E341" s="43"/>
      <c r="F341" s="43"/>
      <c r="G341" s="43"/>
    </row>
    <row r="342" spans="1:7" x14ac:dyDescent="0.2">
      <c r="A342" s="44"/>
      <c r="B342" s="44"/>
      <c r="C342" s="44"/>
      <c r="D342" s="44"/>
      <c r="E342" s="44"/>
      <c r="F342" s="44"/>
      <c r="G342" s="44"/>
    </row>
    <row r="343" spans="1:7" x14ac:dyDescent="0.2">
      <c r="A343" s="43"/>
      <c r="B343" s="43"/>
      <c r="C343" s="43"/>
      <c r="D343" s="43"/>
      <c r="E343" s="43"/>
      <c r="F343" s="43"/>
      <c r="G343" s="43"/>
    </row>
    <row r="344" spans="1:7" x14ac:dyDescent="0.2">
      <c r="A344" s="44"/>
      <c r="B344" s="44"/>
      <c r="C344" s="44"/>
      <c r="D344" s="44"/>
      <c r="E344" s="44"/>
      <c r="F344" s="44"/>
      <c r="G344" s="44"/>
    </row>
    <row r="345" spans="1:7" x14ac:dyDescent="0.2">
      <c r="A345" s="43"/>
      <c r="B345" s="43"/>
      <c r="C345" s="43"/>
      <c r="D345" s="43"/>
      <c r="E345" s="43"/>
      <c r="F345" s="43"/>
      <c r="G345" s="43"/>
    </row>
    <row r="346" spans="1:7" x14ac:dyDescent="0.2">
      <c r="A346" s="44"/>
      <c r="B346" s="44"/>
      <c r="C346" s="44"/>
      <c r="D346" s="44"/>
      <c r="E346" s="44"/>
      <c r="F346" s="44"/>
      <c r="G346" s="44"/>
    </row>
    <row r="347" spans="1:7" x14ac:dyDescent="0.2">
      <c r="A347" s="43"/>
      <c r="B347" s="43"/>
      <c r="C347" s="43"/>
      <c r="D347" s="43"/>
      <c r="E347" s="43"/>
      <c r="F347" s="43"/>
      <c r="G347" s="43"/>
    </row>
    <row r="348" spans="1:7" x14ac:dyDescent="0.2">
      <c r="A348" s="44"/>
      <c r="B348" s="44"/>
      <c r="C348" s="44"/>
      <c r="D348" s="44"/>
      <c r="E348" s="44"/>
      <c r="F348" s="44"/>
      <c r="G348" s="44"/>
    </row>
    <row r="349" spans="1:7" x14ac:dyDescent="0.2">
      <c r="A349" s="43"/>
      <c r="B349" s="43"/>
      <c r="C349" s="43"/>
      <c r="D349" s="43"/>
      <c r="E349" s="43"/>
      <c r="F349" s="43"/>
      <c r="G349" s="43"/>
    </row>
    <row r="350" spans="1:7" x14ac:dyDescent="0.2">
      <c r="A350" s="44"/>
      <c r="B350" s="44"/>
      <c r="C350" s="44"/>
      <c r="D350" s="44"/>
      <c r="E350" s="44"/>
      <c r="F350" s="44"/>
      <c r="G350" s="44"/>
    </row>
    <row r="351" spans="1:7" x14ac:dyDescent="0.2">
      <c r="A351" s="43"/>
      <c r="B351" s="43"/>
      <c r="C351" s="43"/>
      <c r="D351" s="43"/>
      <c r="E351" s="43"/>
      <c r="F351" s="43"/>
      <c r="G351" s="43"/>
    </row>
    <row r="352" spans="1:7" x14ac:dyDescent="0.2">
      <c r="A352" s="44"/>
      <c r="B352" s="44"/>
      <c r="C352" s="44"/>
      <c r="D352" s="44"/>
      <c r="E352" s="44"/>
      <c r="F352" s="44"/>
      <c r="G352" s="44"/>
    </row>
    <row r="353" spans="1:7" x14ac:dyDescent="0.2">
      <c r="A353" s="43"/>
      <c r="B353" s="43"/>
      <c r="C353" s="43"/>
      <c r="D353" s="43"/>
      <c r="E353" s="43"/>
      <c r="F353" s="43"/>
      <c r="G353" s="43"/>
    </row>
    <row r="354" spans="1:7" x14ac:dyDescent="0.2">
      <c r="A354" s="44"/>
      <c r="B354" s="44"/>
      <c r="C354" s="44"/>
      <c r="D354" s="44"/>
      <c r="E354" s="44"/>
      <c r="F354" s="44"/>
      <c r="G354" s="44"/>
    </row>
    <row r="355" spans="1:7" x14ac:dyDescent="0.2">
      <c r="A355" s="43"/>
      <c r="B355" s="43"/>
      <c r="C355" s="43"/>
      <c r="D355" s="43"/>
      <c r="E355" s="43"/>
      <c r="F355" s="43"/>
      <c r="G355" s="43"/>
    </row>
    <row r="356" spans="1:7" x14ac:dyDescent="0.2">
      <c r="A356" s="44"/>
      <c r="B356" s="44"/>
      <c r="C356" s="44"/>
      <c r="D356" s="44"/>
      <c r="E356" s="44"/>
      <c r="F356" s="44"/>
      <c r="G356" s="44"/>
    </row>
    <row r="357" spans="1:7" x14ac:dyDescent="0.2">
      <c r="A357" s="43"/>
      <c r="B357" s="43"/>
      <c r="C357" s="43"/>
      <c r="D357" s="43"/>
      <c r="E357" s="43"/>
      <c r="F357" s="43"/>
      <c r="G357" s="43"/>
    </row>
    <row r="358" spans="1:7" x14ac:dyDescent="0.2">
      <c r="A358" s="44"/>
      <c r="B358" s="44"/>
      <c r="C358" s="44"/>
      <c r="D358" s="44"/>
      <c r="E358" s="44"/>
      <c r="F358" s="44"/>
      <c r="G358" s="44"/>
    </row>
    <row r="359" spans="1:7" x14ac:dyDescent="0.2">
      <c r="A359" s="43"/>
      <c r="B359" s="43"/>
      <c r="C359" s="43"/>
      <c r="D359" s="43"/>
      <c r="E359" s="43"/>
      <c r="F359" s="43"/>
      <c r="G359" s="43"/>
    </row>
    <row r="360" spans="1:7" x14ac:dyDescent="0.2">
      <c r="A360" s="44"/>
      <c r="B360" s="44"/>
      <c r="C360" s="44"/>
      <c r="D360" s="44"/>
      <c r="E360" s="44"/>
      <c r="F360" s="44"/>
      <c r="G360" s="44"/>
    </row>
    <row r="361" spans="1:7" x14ac:dyDescent="0.2">
      <c r="A361" s="43"/>
      <c r="B361" s="43"/>
      <c r="C361" s="43"/>
      <c r="D361" s="43"/>
      <c r="E361" s="43"/>
      <c r="F361" s="43"/>
      <c r="G361" s="43"/>
    </row>
    <row r="362" spans="1:7" x14ac:dyDescent="0.2">
      <c r="A362" s="44"/>
      <c r="B362" s="44"/>
      <c r="C362" s="44"/>
      <c r="D362" s="44"/>
      <c r="E362" s="44"/>
      <c r="F362" s="44"/>
      <c r="G362" s="44"/>
    </row>
    <row r="363" spans="1:7" x14ac:dyDescent="0.2">
      <c r="A363" s="43"/>
      <c r="B363" s="43"/>
      <c r="C363" s="43"/>
      <c r="D363" s="43"/>
      <c r="E363" s="43"/>
      <c r="F363" s="43"/>
      <c r="G363" s="43"/>
    </row>
    <row r="364" spans="1:7" x14ac:dyDescent="0.2">
      <c r="A364" s="44"/>
      <c r="B364" s="44"/>
      <c r="C364" s="44"/>
      <c r="D364" s="44"/>
      <c r="E364" s="44"/>
      <c r="F364" s="44"/>
      <c r="G364" s="44"/>
    </row>
    <row r="365" spans="1:7" x14ac:dyDescent="0.2">
      <c r="A365" s="43"/>
      <c r="B365" s="43"/>
      <c r="C365" s="43"/>
      <c r="D365" s="43"/>
      <c r="E365" s="43"/>
      <c r="F365" s="43"/>
      <c r="G365" s="43"/>
    </row>
    <row r="366" spans="1:7" x14ac:dyDescent="0.2">
      <c r="A366" s="44"/>
      <c r="B366" s="44"/>
      <c r="C366" s="44"/>
      <c r="D366" s="44"/>
      <c r="E366" s="44"/>
      <c r="F366" s="44"/>
      <c r="G366" s="44"/>
    </row>
    <row r="367" spans="1:7" x14ac:dyDescent="0.2">
      <c r="A367" s="43"/>
      <c r="B367" s="43"/>
      <c r="C367" s="43"/>
      <c r="D367" s="43"/>
      <c r="E367" s="43"/>
      <c r="F367" s="43"/>
      <c r="G367" s="43"/>
    </row>
    <row r="368" spans="1:7" x14ac:dyDescent="0.2">
      <c r="A368" s="44"/>
      <c r="B368" s="44"/>
      <c r="C368" s="44"/>
      <c r="D368" s="44"/>
      <c r="E368" s="44"/>
      <c r="F368" s="44"/>
      <c r="G368" s="44"/>
    </row>
    <row r="369" spans="1:7" x14ac:dyDescent="0.2">
      <c r="A369" s="43"/>
      <c r="B369" s="43"/>
      <c r="C369" s="43"/>
      <c r="D369" s="43"/>
      <c r="E369" s="43"/>
      <c r="F369" s="43"/>
      <c r="G369" s="43"/>
    </row>
    <row r="370" spans="1:7" x14ac:dyDescent="0.2">
      <c r="A370" s="44"/>
      <c r="B370" s="44"/>
      <c r="C370" s="44"/>
      <c r="D370" s="44"/>
      <c r="E370" s="44"/>
      <c r="F370" s="44"/>
      <c r="G370" s="44"/>
    </row>
    <row r="371" spans="1:7" x14ac:dyDescent="0.2">
      <c r="A371" s="43"/>
      <c r="B371" s="43"/>
      <c r="C371" s="43"/>
      <c r="D371" s="43"/>
      <c r="E371" s="43"/>
      <c r="F371" s="43"/>
      <c r="G371" s="43"/>
    </row>
    <row r="372" spans="1:7" x14ac:dyDescent="0.2">
      <c r="A372" s="44"/>
      <c r="B372" s="44"/>
      <c r="C372" s="44"/>
      <c r="D372" s="44"/>
      <c r="E372" s="44"/>
      <c r="F372" s="44"/>
      <c r="G372" s="44"/>
    </row>
    <row r="373" spans="1:7" x14ac:dyDescent="0.2">
      <c r="A373" s="43"/>
      <c r="B373" s="43"/>
      <c r="C373" s="43"/>
      <c r="D373" s="43"/>
      <c r="E373" s="43"/>
      <c r="F373" s="43"/>
      <c r="G373" s="43"/>
    </row>
    <row r="374" spans="1:7" x14ac:dyDescent="0.2">
      <c r="A374" s="44"/>
      <c r="B374" s="44"/>
      <c r="C374" s="44"/>
      <c r="D374" s="44"/>
      <c r="E374" s="44"/>
      <c r="F374" s="44"/>
      <c r="G374" s="44"/>
    </row>
    <row r="375" spans="1:7" x14ac:dyDescent="0.2">
      <c r="A375" s="43"/>
      <c r="B375" s="43"/>
      <c r="C375" s="43"/>
      <c r="D375" s="43"/>
      <c r="E375" s="43"/>
      <c r="F375" s="43"/>
      <c r="G375" s="43"/>
    </row>
    <row r="376" spans="1:7" x14ac:dyDescent="0.2">
      <c r="A376" s="44"/>
      <c r="B376" s="44"/>
      <c r="C376" s="44"/>
      <c r="D376" s="44"/>
      <c r="E376" s="44"/>
      <c r="F376" s="44"/>
      <c r="G376" s="44"/>
    </row>
    <row r="377" spans="1:7" x14ac:dyDescent="0.2">
      <c r="A377" s="43"/>
      <c r="B377" s="43"/>
      <c r="C377" s="43"/>
      <c r="D377" s="43"/>
      <c r="E377" s="43"/>
      <c r="F377" s="43"/>
      <c r="G377" s="43"/>
    </row>
    <row r="378" spans="1:7" x14ac:dyDescent="0.2">
      <c r="A378" s="44"/>
      <c r="B378" s="44"/>
      <c r="C378" s="44"/>
      <c r="D378" s="44"/>
      <c r="E378" s="44"/>
      <c r="F378" s="44"/>
      <c r="G378" s="44"/>
    </row>
    <row r="379" spans="1:7" x14ac:dyDescent="0.2">
      <c r="A379" s="43"/>
      <c r="B379" s="43"/>
      <c r="C379" s="43"/>
      <c r="D379" s="43"/>
      <c r="E379" s="43"/>
      <c r="F379" s="43"/>
      <c r="G379" s="43"/>
    </row>
    <row r="380" spans="1:7" x14ac:dyDescent="0.2">
      <c r="A380" s="44"/>
      <c r="B380" s="44"/>
      <c r="C380" s="44"/>
      <c r="D380" s="44"/>
      <c r="E380" s="44"/>
      <c r="F380" s="44"/>
      <c r="G380" s="44"/>
    </row>
    <row r="381" spans="1:7" x14ac:dyDescent="0.2">
      <c r="A381" s="43"/>
      <c r="B381" s="43"/>
      <c r="C381" s="43"/>
      <c r="D381" s="43"/>
      <c r="E381" s="43"/>
      <c r="F381" s="43"/>
      <c r="G381" s="43"/>
    </row>
    <row r="382" spans="1:7" x14ac:dyDescent="0.2">
      <c r="A382" s="44"/>
      <c r="B382" s="44"/>
      <c r="C382" s="44"/>
      <c r="D382" s="44"/>
      <c r="E382" s="44"/>
      <c r="F382" s="44"/>
      <c r="G382" s="44"/>
    </row>
    <row r="383" spans="1:7" x14ac:dyDescent="0.2">
      <c r="A383" s="43"/>
      <c r="B383" s="43"/>
      <c r="C383" s="43"/>
      <c r="D383" s="43"/>
      <c r="E383" s="43"/>
      <c r="F383" s="43"/>
      <c r="G383" s="43"/>
    </row>
    <row r="384" spans="1:7" x14ac:dyDescent="0.2">
      <c r="A384" s="44"/>
      <c r="B384" s="44"/>
      <c r="C384" s="44"/>
      <c r="D384" s="44"/>
      <c r="E384" s="44"/>
      <c r="F384" s="44"/>
      <c r="G384" s="44"/>
    </row>
    <row r="385" spans="1:7" x14ac:dyDescent="0.2">
      <c r="A385" s="43"/>
      <c r="B385" s="43"/>
      <c r="C385" s="43"/>
      <c r="D385" s="43"/>
      <c r="E385" s="43"/>
      <c r="F385" s="43"/>
      <c r="G385" s="43"/>
    </row>
    <row r="386" spans="1:7" x14ac:dyDescent="0.2">
      <c r="A386" s="44"/>
      <c r="B386" s="44"/>
      <c r="C386" s="44"/>
      <c r="D386" s="44"/>
      <c r="E386" s="44"/>
      <c r="F386" s="44"/>
      <c r="G386" s="44"/>
    </row>
    <row r="387" spans="1:7" x14ac:dyDescent="0.2">
      <c r="A387" s="43"/>
      <c r="B387" s="43"/>
      <c r="C387" s="43"/>
      <c r="D387" s="43"/>
      <c r="E387" s="43"/>
      <c r="F387" s="43"/>
      <c r="G387" s="43"/>
    </row>
    <row r="388" spans="1:7" x14ac:dyDescent="0.2">
      <c r="A388" s="44"/>
      <c r="B388" s="44"/>
      <c r="C388" s="44"/>
      <c r="D388" s="44"/>
      <c r="E388" s="44"/>
      <c r="F388" s="44"/>
      <c r="G388" s="44"/>
    </row>
    <row r="389" spans="1:7" x14ac:dyDescent="0.2">
      <c r="A389" s="43"/>
      <c r="B389" s="43"/>
      <c r="C389" s="43"/>
      <c r="D389" s="43"/>
      <c r="E389" s="43"/>
      <c r="F389" s="43"/>
      <c r="G389" s="43"/>
    </row>
    <row r="390" spans="1:7" x14ac:dyDescent="0.2">
      <c r="A390" s="44"/>
      <c r="B390" s="44"/>
      <c r="C390" s="44"/>
      <c r="D390" s="44"/>
      <c r="E390" s="44"/>
      <c r="F390" s="44"/>
      <c r="G390" s="44"/>
    </row>
    <row r="391" spans="1:7" x14ac:dyDescent="0.2">
      <c r="A391" s="43"/>
      <c r="B391" s="43"/>
      <c r="C391" s="43"/>
      <c r="D391" s="43"/>
      <c r="E391" s="43"/>
      <c r="F391" s="43"/>
      <c r="G391" s="43"/>
    </row>
    <row r="392" spans="1:7" x14ac:dyDescent="0.2">
      <c r="A392" s="44"/>
      <c r="B392" s="44"/>
      <c r="C392" s="44"/>
      <c r="D392" s="44"/>
      <c r="E392" s="44"/>
      <c r="F392" s="44"/>
      <c r="G392" s="44"/>
    </row>
    <row r="393" spans="1:7" x14ac:dyDescent="0.2">
      <c r="A393" s="43"/>
      <c r="B393" s="43"/>
      <c r="C393" s="43"/>
      <c r="D393" s="43"/>
      <c r="E393" s="43"/>
      <c r="F393" s="43"/>
      <c r="G393" s="43"/>
    </row>
    <row r="394" spans="1:7" x14ac:dyDescent="0.2">
      <c r="A394" s="44"/>
      <c r="B394" s="44"/>
      <c r="C394" s="44"/>
      <c r="D394" s="44"/>
      <c r="E394" s="44"/>
      <c r="F394" s="44"/>
      <c r="G394" s="44"/>
    </row>
    <row r="395" spans="1:7" x14ac:dyDescent="0.2">
      <c r="A395" s="43"/>
      <c r="B395" s="43"/>
      <c r="C395" s="43"/>
      <c r="D395" s="43"/>
      <c r="E395" s="43"/>
      <c r="F395" s="43"/>
      <c r="G395" s="43"/>
    </row>
    <row r="396" spans="1:7" x14ac:dyDescent="0.2">
      <c r="A396" s="44"/>
      <c r="B396" s="44"/>
      <c r="C396" s="44"/>
      <c r="D396" s="44"/>
      <c r="E396" s="44"/>
      <c r="F396" s="44"/>
      <c r="G396" s="44"/>
    </row>
    <row r="397" spans="1:7" x14ac:dyDescent="0.2">
      <c r="A397" s="43"/>
      <c r="B397" s="43"/>
      <c r="C397" s="43"/>
      <c r="D397" s="43"/>
      <c r="E397" s="43"/>
      <c r="F397" s="43"/>
      <c r="G397" s="43"/>
    </row>
    <row r="398" spans="1:7" x14ac:dyDescent="0.2">
      <c r="A398" s="44"/>
      <c r="B398" s="44"/>
      <c r="C398" s="44"/>
      <c r="D398" s="44"/>
      <c r="E398" s="44"/>
      <c r="F398" s="44"/>
      <c r="G398" s="44"/>
    </row>
    <row r="399" spans="1:7" x14ac:dyDescent="0.2">
      <c r="A399" s="43"/>
      <c r="B399" s="43"/>
      <c r="C399" s="43"/>
      <c r="D399" s="43"/>
      <c r="E399" s="43"/>
      <c r="F399" s="43"/>
      <c r="G399" s="43"/>
    </row>
    <row r="400" spans="1:7" x14ac:dyDescent="0.2">
      <c r="A400" s="44"/>
      <c r="B400" s="44"/>
      <c r="C400" s="44"/>
      <c r="D400" s="44"/>
      <c r="E400" s="44"/>
      <c r="F400" s="44"/>
      <c r="G400" s="44"/>
    </row>
    <row r="401" spans="1:7" x14ac:dyDescent="0.2">
      <c r="A401" s="43"/>
      <c r="B401" s="43"/>
      <c r="C401" s="43"/>
      <c r="D401" s="43"/>
      <c r="E401" s="43"/>
      <c r="F401" s="43"/>
      <c r="G401" s="43"/>
    </row>
    <row r="402" spans="1:7" x14ac:dyDescent="0.2">
      <c r="A402" s="44"/>
      <c r="B402" s="44"/>
      <c r="C402" s="44"/>
      <c r="D402" s="44"/>
      <c r="E402" s="44"/>
      <c r="F402" s="44"/>
      <c r="G402" s="44"/>
    </row>
    <row r="403" spans="1:7" x14ac:dyDescent="0.2">
      <c r="A403" s="43"/>
      <c r="B403" s="43"/>
      <c r="C403" s="43"/>
      <c r="D403" s="43"/>
      <c r="E403" s="43"/>
      <c r="F403" s="43"/>
      <c r="G403" s="43"/>
    </row>
    <row r="404" spans="1:7" x14ac:dyDescent="0.2">
      <c r="A404" s="44"/>
      <c r="B404" s="44"/>
      <c r="C404" s="44"/>
      <c r="D404" s="44"/>
      <c r="E404" s="44"/>
      <c r="F404" s="44"/>
      <c r="G404" s="44"/>
    </row>
    <row r="405" spans="1:7" x14ac:dyDescent="0.2">
      <c r="A405" s="43"/>
      <c r="B405" s="43"/>
      <c r="C405" s="43"/>
      <c r="D405" s="43"/>
      <c r="E405" s="43"/>
      <c r="F405" s="43"/>
      <c r="G405" s="43"/>
    </row>
    <row r="406" spans="1:7" x14ac:dyDescent="0.2">
      <c r="A406" s="44"/>
      <c r="B406" s="44"/>
      <c r="C406" s="44"/>
      <c r="D406" s="44"/>
      <c r="E406" s="44"/>
      <c r="F406" s="44"/>
      <c r="G406" s="44"/>
    </row>
    <row r="407" spans="1:7" x14ac:dyDescent="0.2">
      <c r="A407" s="43"/>
      <c r="B407" s="43"/>
      <c r="C407" s="43"/>
      <c r="D407" s="43"/>
      <c r="E407" s="43"/>
      <c r="F407" s="43"/>
      <c r="G407" s="43"/>
    </row>
    <row r="408" spans="1:7" x14ac:dyDescent="0.2">
      <c r="A408" s="44"/>
      <c r="B408" s="44"/>
      <c r="C408" s="44"/>
      <c r="D408" s="44"/>
      <c r="E408" s="44"/>
      <c r="F408" s="44"/>
      <c r="G408" s="44"/>
    </row>
    <row r="409" spans="1:7" x14ac:dyDescent="0.2">
      <c r="A409" s="43"/>
      <c r="B409" s="43"/>
      <c r="C409" s="43"/>
      <c r="D409" s="43"/>
      <c r="E409" s="43"/>
      <c r="F409" s="43"/>
      <c r="G409" s="43"/>
    </row>
    <row r="410" spans="1:7" x14ac:dyDescent="0.2">
      <c r="A410" s="44"/>
      <c r="B410" s="44"/>
      <c r="C410" s="44"/>
      <c r="D410" s="44"/>
      <c r="E410" s="44"/>
      <c r="F410" s="44"/>
      <c r="G410" s="44"/>
    </row>
    <row r="411" spans="1:7" x14ac:dyDescent="0.2">
      <c r="A411" s="43"/>
      <c r="B411" s="43"/>
      <c r="C411" s="43"/>
      <c r="D411" s="43"/>
      <c r="E411" s="43"/>
      <c r="F411" s="43"/>
      <c r="G411" s="43"/>
    </row>
    <row r="412" spans="1:7" x14ac:dyDescent="0.2">
      <c r="A412" s="44"/>
      <c r="B412" s="44"/>
      <c r="C412" s="44"/>
      <c r="D412" s="44"/>
      <c r="E412" s="44"/>
      <c r="F412" s="44"/>
      <c r="G412" s="44"/>
    </row>
    <row r="413" spans="1:7" x14ac:dyDescent="0.2">
      <c r="A413" s="43"/>
      <c r="B413" s="43"/>
      <c r="C413" s="43"/>
      <c r="D413" s="43"/>
      <c r="E413" s="43"/>
      <c r="F413" s="43"/>
      <c r="G413" s="43"/>
    </row>
    <row r="414" spans="1:7" x14ac:dyDescent="0.2">
      <c r="A414" s="44"/>
      <c r="B414" s="44"/>
      <c r="C414" s="44"/>
      <c r="D414" s="44"/>
      <c r="E414" s="44"/>
      <c r="F414" s="44"/>
      <c r="G414" s="44"/>
    </row>
    <row r="415" spans="1:7" x14ac:dyDescent="0.2">
      <c r="A415" s="43"/>
      <c r="B415" s="43"/>
      <c r="C415" s="43"/>
      <c r="D415" s="43"/>
      <c r="E415" s="43"/>
      <c r="F415" s="43"/>
      <c r="G415" s="43"/>
    </row>
    <row r="416" spans="1:7" x14ac:dyDescent="0.2">
      <c r="A416" s="44"/>
      <c r="B416" s="44"/>
      <c r="C416" s="44"/>
      <c r="D416" s="44"/>
      <c r="E416" s="44"/>
      <c r="F416" s="44"/>
      <c r="G416" s="44"/>
    </row>
    <row r="417" spans="1:7" x14ac:dyDescent="0.2">
      <c r="A417" s="43"/>
      <c r="B417" s="43"/>
      <c r="C417" s="43"/>
      <c r="D417" s="43"/>
      <c r="E417" s="43"/>
      <c r="F417" s="43"/>
      <c r="G417" s="43"/>
    </row>
    <row r="418" spans="1:7" x14ac:dyDescent="0.2">
      <c r="A418" s="44"/>
      <c r="B418" s="44"/>
      <c r="C418" s="44"/>
      <c r="D418" s="44"/>
      <c r="E418" s="44"/>
      <c r="F418" s="44"/>
      <c r="G418" s="44"/>
    </row>
    <row r="419" spans="1:7" x14ac:dyDescent="0.2">
      <c r="A419" s="43"/>
      <c r="B419" s="43"/>
      <c r="C419" s="43"/>
      <c r="D419" s="43"/>
      <c r="E419" s="43"/>
      <c r="F419" s="43"/>
      <c r="G419" s="43"/>
    </row>
    <row r="420" spans="1:7" x14ac:dyDescent="0.2">
      <c r="A420" s="44"/>
      <c r="B420" s="44"/>
      <c r="C420" s="44"/>
      <c r="D420" s="44"/>
      <c r="E420" s="44"/>
      <c r="F420" s="44"/>
      <c r="G420" s="44"/>
    </row>
    <row r="421" spans="1:7" x14ac:dyDescent="0.2">
      <c r="A421" s="43"/>
      <c r="B421" s="43"/>
      <c r="C421" s="43"/>
      <c r="D421" s="43"/>
      <c r="E421" s="43"/>
      <c r="F421" s="43"/>
      <c r="G421" s="43"/>
    </row>
    <row r="422" spans="1:7" x14ac:dyDescent="0.2">
      <c r="A422" s="44"/>
      <c r="B422" s="44"/>
      <c r="C422" s="44"/>
      <c r="D422" s="44"/>
      <c r="E422" s="44"/>
      <c r="F422" s="44"/>
      <c r="G422" s="44"/>
    </row>
    <row r="423" spans="1:7" x14ac:dyDescent="0.2">
      <c r="A423" s="43"/>
      <c r="B423" s="43"/>
      <c r="C423" s="43"/>
      <c r="D423" s="43"/>
      <c r="E423" s="43"/>
      <c r="F423" s="43"/>
      <c r="G423" s="43"/>
    </row>
    <row r="424" spans="1:7" x14ac:dyDescent="0.2">
      <c r="A424" s="44"/>
      <c r="B424" s="44"/>
      <c r="C424" s="44"/>
      <c r="D424" s="44"/>
      <c r="E424" s="44"/>
      <c r="F424" s="44"/>
      <c r="G424" s="44"/>
    </row>
    <row r="425" spans="1:7" x14ac:dyDescent="0.2">
      <c r="A425" s="43"/>
      <c r="B425" s="43"/>
      <c r="C425" s="43"/>
      <c r="D425" s="43"/>
      <c r="E425" s="43"/>
      <c r="F425" s="43"/>
      <c r="G425" s="43"/>
    </row>
    <row r="426" spans="1:7" x14ac:dyDescent="0.2">
      <c r="A426" s="44"/>
      <c r="B426" s="44"/>
      <c r="C426" s="44"/>
      <c r="D426" s="44"/>
      <c r="E426" s="44"/>
      <c r="F426" s="44"/>
      <c r="G426" s="44"/>
    </row>
    <row r="427" spans="1:7" x14ac:dyDescent="0.2">
      <c r="A427" s="43"/>
      <c r="B427" s="43"/>
      <c r="C427" s="43"/>
      <c r="D427" s="43"/>
      <c r="E427" s="43"/>
      <c r="F427" s="43"/>
      <c r="G427" s="43"/>
    </row>
    <row r="428" spans="1:7" x14ac:dyDescent="0.2">
      <c r="A428" s="44"/>
      <c r="B428" s="44"/>
      <c r="C428" s="44"/>
      <c r="D428" s="44"/>
      <c r="E428" s="44"/>
      <c r="F428" s="44"/>
      <c r="G428" s="44"/>
    </row>
    <row r="429" spans="1:7" x14ac:dyDescent="0.2">
      <c r="A429" s="43"/>
      <c r="B429" s="43"/>
      <c r="C429" s="43"/>
      <c r="D429" s="43"/>
      <c r="E429" s="43"/>
      <c r="F429" s="43"/>
      <c r="G429" s="43"/>
    </row>
    <row r="430" spans="1:7" x14ac:dyDescent="0.2">
      <c r="A430" s="44"/>
      <c r="B430" s="44"/>
      <c r="C430" s="44"/>
      <c r="D430" s="44"/>
      <c r="E430" s="44"/>
      <c r="F430" s="44"/>
      <c r="G430" s="44"/>
    </row>
    <row r="431" spans="1:7" x14ac:dyDescent="0.2">
      <c r="A431" s="43"/>
      <c r="B431" s="43"/>
      <c r="C431" s="43"/>
      <c r="D431" s="43"/>
      <c r="E431" s="43"/>
      <c r="F431" s="43"/>
      <c r="G431" s="43"/>
    </row>
    <row r="432" spans="1:7" x14ac:dyDescent="0.2">
      <c r="A432" s="44"/>
      <c r="B432" s="44"/>
      <c r="C432" s="44"/>
      <c r="D432" s="44"/>
      <c r="E432" s="44"/>
      <c r="F432" s="44"/>
      <c r="G432" s="44"/>
    </row>
    <row r="433" spans="1:7" x14ac:dyDescent="0.2">
      <c r="A433" s="43"/>
      <c r="B433" s="43"/>
      <c r="C433" s="43"/>
      <c r="D433" s="43"/>
      <c r="E433" s="43"/>
      <c r="F433" s="43"/>
      <c r="G433" s="43"/>
    </row>
    <row r="434" spans="1:7" x14ac:dyDescent="0.2">
      <c r="A434" s="44"/>
      <c r="B434" s="44"/>
      <c r="C434" s="44"/>
      <c r="D434" s="44"/>
      <c r="E434" s="44"/>
      <c r="F434" s="44"/>
      <c r="G434" s="44"/>
    </row>
    <row r="435" spans="1:7" x14ac:dyDescent="0.2">
      <c r="A435" s="43"/>
      <c r="B435" s="43"/>
      <c r="C435" s="43"/>
      <c r="D435" s="43"/>
      <c r="E435" s="43"/>
      <c r="F435" s="43"/>
      <c r="G435" s="43"/>
    </row>
    <row r="436" spans="1:7" x14ac:dyDescent="0.2">
      <c r="A436" s="44"/>
      <c r="B436" s="44"/>
      <c r="C436" s="44"/>
      <c r="D436" s="44"/>
      <c r="E436" s="44"/>
      <c r="F436" s="44"/>
      <c r="G436" s="44"/>
    </row>
    <row r="437" spans="1:7" x14ac:dyDescent="0.2">
      <c r="A437" s="43"/>
      <c r="B437" s="43"/>
      <c r="C437" s="43"/>
      <c r="D437" s="43"/>
      <c r="E437" s="43"/>
      <c r="F437" s="43"/>
      <c r="G437" s="43"/>
    </row>
    <row r="438" spans="1:7" x14ac:dyDescent="0.2">
      <c r="A438" s="44"/>
      <c r="B438" s="44"/>
      <c r="C438" s="44"/>
      <c r="D438" s="44"/>
      <c r="E438" s="44"/>
      <c r="F438" s="44"/>
      <c r="G438" s="44"/>
    </row>
    <row r="439" spans="1:7" x14ac:dyDescent="0.2">
      <c r="A439" s="43"/>
      <c r="B439" s="43"/>
      <c r="C439" s="43"/>
      <c r="D439" s="43"/>
      <c r="E439" s="43"/>
      <c r="F439" s="43"/>
      <c r="G439" s="43"/>
    </row>
    <row r="440" spans="1:7" x14ac:dyDescent="0.2">
      <c r="A440" s="44"/>
      <c r="B440" s="44"/>
      <c r="C440" s="44"/>
      <c r="D440" s="44"/>
      <c r="E440" s="44"/>
      <c r="F440" s="44"/>
      <c r="G440" s="44"/>
    </row>
    <row r="441" spans="1:7" x14ac:dyDescent="0.2">
      <c r="A441" s="43"/>
      <c r="B441" s="43"/>
      <c r="C441" s="43"/>
      <c r="D441" s="43"/>
      <c r="E441" s="43"/>
      <c r="F441" s="43"/>
      <c r="G441" s="43"/>
    </row>
    <row r="442" spans="1:7" x14ac:dyDescent="0.2">
      <c r="A442" s="44"/>
      <c r="B442" s="44"/>
      <c r="C442" s="44"/>
      <c r="D442" s="44"/>
      <c r="E442" s="44"/>
      <c r="F442" s="44"/>
      <c r="G442" s="44"/>
    </row>
    <row r="443" spans="1:7" x14ac:dyDescent="0.2">
      <c r="A443" s="43"/>
      <c r="B443" s="43"/>
      <c r="C443" s="43"/>
      <c r="D443" s="43"/>
      <c r="E443" s="43"/>
      <c r="F443" s="43"/>
      <c r="G443" s="43"/>
    </row>
    <row r="444" spans="1:7" x14ac:dyDescent="0.2">
      <c r="A444" s="44"/>
      <c r="B444" s="44"/>
      <c r="C444" s="44"/>
      <c r="D444" s="44"/>
      <c r="E444" s="44"/>
      <c r="F444" s="44"/>
      <c r="G444" s="44"/>
    </row>
    <row r="445" spans="1:7" x14ac:dyDescent="0.2">
      <c r="A445" s="43"/>
      <c r="B445" s="43"/>
      <c r="C445" s="43"/>
      <c r="D445" s="43"/>
      <c r="E445" s="43"/>
      <c r="F445" s="43"/>
      <c r="G445" s="43"/>
    </row>
    <row r="446" spans="1:7" x14ac:dyDescent="0.2">
      <c r="A446" s="44"/>
      <c r="B446" s="44"/>
      <c r="C446" s="44"/>
      <c r="D446" s="44"/>
      <c r="E446" s="44"/>
      <c r="F446" s="44"/>
      <c r="G446" s="44"/>
    </row>
    <row r="447" spans="1:7" x14ac:dyDescent="0.2">
      <c r="A447" s="43"/>
      <c r="B447" s="43"/>
      <c r="C447" s="43"/>
      <c r="D447" s="43"/>
      <c r="E447" s="43"/>
      <c r="F447" s="43"/>
      <c r="G447" s="43"/>
    </row>
    <row r="448" spans="1:7" x14ac:dyDescent="0.2">
      <c r="A448" s="44"/>
      <c r="B448" s="44"/>
      <c r="C448" s="44"/>
      <c r="D448" s="44"/>
      <c r="E448" s="44"/>
      <c r="F448" s="44"/>
      <c r="G448" s="44"/>
    </row>
    <row r="449" spans="1:7" x14ac:dyDescent="0.2">
      <c r="A449" s="43"/>
      <c r="B449" s="43"/>
      <c r="C449" s="43"/>
      <c r="D449" s="43"/>
      <c r="E449" s="43"/>
      <c r="F449" s="43"/>
      <c r="G449" s="43"/>
    </row>
    <row r="450" spans="1:7" x14ac:dyDescent="0.2">
      <c r="A450" s="44"/>
      <c r="B450" s="44"/>
      <c r="C450" s="44"/>
      <c r="D450" s="44"/>
      <c r="E450" s="44"/>
      <c r="F450" s="44"/>
      <c r="G450" s="44"/>
    </row>
    <row r="451" spans="1:7" x14ac:dyDescent="0.2">
      <c r="A451" s="43"/>
      <c r="B451" s="43"/>
      <c r="C451" s="43"/>
      <c r="D451" s="43"/>
      <c r="E451" s="43"/>
      <c r="F451" s="43"/>
      <c r="G451" s="43"/>
    </row>
    <row r="452" spans="1:7" x14ac:dyDescent="0.2">
      <c r="A452" s="44"/>
      <c r="B452" s="44"/>
      <c r="C452" s="44"/>
      <c r="D452" s="44"/>
      <c r="E452" s="44"/>
      <c r="F452" s="44"/>
      <c r="G452" s="44"/>
    </row>
    <row r="453" spans="1:7" x14ac:dyDescent="0.2">
      <c r="A453" s="43"/>
      <c r="B453" s="43"/>
      <c r="C453" s="43"/>
      <c r="D453" s="43"/>
      <c r="E453" s="43"/>
      <c r="F453" s="43"/>
      <c r="G453" s="43"/>
    </row>
    <row r="454" spans="1:7" x14ac:dyDescent="0.2">
      <c r="A454" s="44"/>
      <c r="B454" s="44"/>
      <c r="C454" s="44"/>
      <c r="D454" s="44"/>
      <c r="E454" s="44"/>
      <c r="F454" s="44"/>
      <c r="G454" s="44"/>
    </row>
    <row r="455" spans="1:7" x14ac:dyDescent="0.2">
      <c r="A455" s="43"/>
      <c r="B455" s="43"/>
      <c r="C455" s="43"/>
      <c r="D455" s="43"/>
      <c r="E455" s="43"/>
      <c r="F455" s="43"/>
      <c r="G455" s="43"/>
    </row>
    <row r="456" spans="1:7" x14ac:dyDescent="0.2">
      <c r="A456" s="44"/>
      <c r="B456" s="44"/>
      <c r="C456" s="44"/>
      <c r="D456" s="44"/>
      <c r="E456" s="44"/>
      <c r="F456" s="44"/>
      <c r="G456" s="44"/>
    </row>
    <row r="457" spans="1:7" x14ac:dyDescent="0.2">
      <c r="A457" s="43"/>
      <c r="B457" s="43"/>
      <c r="C457" s="43"/>
      <c r="D457" s="43"/>
      <c r="E457" s="43"/>
      <c r="F457" s="43"/>
      <c r="G457" s="43"/>
    </row>
    <row r="458" spans="1:7" x14ac:dyDescent="0.2">
      <c r="A458" s="44"/>
      <c r="B458" s="44"/>
      <c r="C458" s="44"/>
      <c r="D458" s="44"/>
      <c r="E458" s="44"/>
      <c r="F458" s="44"/>
      <c r="G458" s="44"/>
    </row>
    <row r="459" spans="1:7" x14ac:dyDescent="0.2">
      <c r="A459" s="43"/>
      <c r="B459" s="43"/>
      <c r="C459" s="43"/>
      <c r="D459" s="43"/>
      <c r="E459" s="43"/>
      <c r="F459" s="43"/>
      <c r="G459" s="43"/>
    </row>
    <row r="460" spans="1:7" x14ac:dyDescent="0.2">
      <c r="A460" s="44"/>
      <c r="B460" s="44"/>
      <c r="C460" s="44"/>
      <c r="D460" s="44"/>
      <c r="E460" s="44"/>
      <c r="F460" s="44"/>
      <c r="G460" s="44"/>
    </row>
    <row r="461" spans="1:7" x14ac:dyDescent="0.2">
      <c r="A461" s="43"/>
      <c r="B461" s="43"/>
      <c r="C461" s="43"/>
      <c r="D461" s="43"/>
      <c r="E461" s="43"/>
      <c r="F461" s="43"/>
      <c r="G461" s="43"/>
    </row>
    <row r="462" spans="1:7" x14ac:dyDescent="0.2">
      <c r="A462" s="44"/>
      <c r="B462" s="44"/>
      <c r="C462" s="44"/>
      <c r="D462" s="44"/>
      <c r="E462" s="44"/>
      <c r="F462" s="44"/>
      <c r="G462" s="44"/>
    </row>
    <row r="463" spans="1:7" x14ac:dyDescent="0.2">
      <c r="A463" s="43"/>
      <c r="B463" s="43"/>
      <c r="C463" s="43"/>
      <c r="D463" s="43"/>
      <c r="E463" s="43"/>
      <c r="F463" s="43"/>
      <c r="G463" s="43"/>
    </row>
    <row r="464" spans="1:7" x14ac:dyDescent="0.2">
      <c r="A464" s="44"/>
      <c r="B464" s="44"/>
      <c r="C464" s="44"/>
      <c r="D464" s="44"/>
      <c r="E464" s="44"/>
      <c r="F464" s="44"/>
      <c r="G464" s="44"/>
    </row>
    <row r="465" spans="1:7" x14ac:dyDescent="0.2">
      <c r="A465" s="43"/>
      <c r="B465" s="43"/>
      <c r="C465" s="43"/>
      <c r="D465" s="43"/>
      <c r="E465" s="43"/>
      <c r="F465" s="43"/>
      <c r="G465" s="43"/>
    </row>
    <row r="466" spans="1:7" x14ac:dyDescent="0.2">
      <c r="A466" s="44"/>
      <c r="B466" s="44"/>
      <c r="C466" s="44"/>
      <c r="D466" s="44"/>
      <c r="E466" s="44"/>
      <c r="F466" s="44"/>
      <c r="G466" s="44"/>
    </row>
    <row r="467" spans="1:7" x14ac:dyDescent="0.2">
      <c r="A467" s="43"/>
      <c r="B467" s="43"/>
      <c r="C467" s="43"/>
      <c r="D467" s="43"/>
      <c r="E467" s="43"/>
      <c r="F467" s="43"/>
      <c r="G467" s="43"/>
    </row>
    <row r="468" spans="1:7" x14ac:dyDescent="0.2">
      <c r="A468" s="44"/>
      <c r="B468" s="44"/>
      <c r="C468" s="44"/>
      <c r="D468" s="44"/>
      <c r="E468" s="44"/>
      <c r="F468" s="44"/>
      <c r="G468" s="44"/>
    </row>
    <row r="469" spans="1:7" x14ac:dyDescent="0.2">
      <c r="A469" s="43"/>
      <c r="B469" s="43"/>
      <c r="C469" s="43"/>
      <c r="D469" s="43"/>
      <c r="E469" s="43"/>
      <c r="F469" s="43"/>
      <c r="G469" s="43"/>
    </row>
    <row r="470" spans="1:7" x14ac:dyDescent="0.2">
      <c r="A470" s="44"/>
      <c r="B470" s="44"/>
      <c r="C470" s="44"/>
      <c r="D470" s="44"/>
      <c r="E470" s="44"/>
      <c r="F470" s="44"/>
      <c r="G470" s="44"/>
    </row>
    <row r="471" spans="1:7" x14ac:dyDescent="0.2">
      <c r="A471" s="43"/>
      <c r="B471" s="43"/>
      <c r="C471" s="43"/>
      <c r="D471" s="43"/>
      <c r="E471" s="43"/>
      <c r="F471" s="43"/>
      <c r="G471" s="43"/>
    </row>
    <row r="472" spans="1:7" x14ac:dyDescent="0.2">
      <c r="A472" s="44"/>
      <c r="B472" s="44"/>
      <c r="C472" s="44"/>
      <c r="D472" s="44"/>
      <c r="E472" s="44"/>
      <c r="F472" s="44"/>
      <c r="G472" s="44"/>
    </row>
    <row r="473" spans="1:7" x14ac:dyDescent="0.2">
      <c r="A473" s="43"/>
      <c r="B473" s="43"/>
      <c r="C473" s="43"/>
      <c r="D473" s="43"/>
      <c r="E473" s="43"/>
      <c r="F473" s="43"/>
      <c r="G473" s="43"/>
    </row>
    <row r="474" spans="1:7" x14ac:dyDescent="0.2">
      <c r="A474" s="44"/>
      <c r="B474" s="44"/>
      <c r="C474" s="44"/>
      <c r="D474" s="44"/>
      <c r="E474" s="44"/>
      <c r="F474" s="44"/>
      <c r="G474" s="44"/>
    </row>
    <row r="475" spans="1:7" x14ac:dyDescent="0.2">
      <c r="A475" s="43"/>
      <c r="B475" s="43"/>
      <c r="C475" s="43"/>
      <c r="D475" s="43"/>
      <c r="E475" s="43"/>
      <c r="F475" s="43"/>
      <c r="G475" s="43"/>
    </row>
    <row r="476" spans="1:7" x14ac:dyDescent="0.2">
      <c r="A476" s="44"/>
      <c r="B476" s="44"/>
      <c r="C476" s="44"/>
      <c r="D476" s="44"/>
      <c r="E476" s="44"/>
      <c r="F476" s="44"/>
      <c r="G476" s="44"/>
    </row>
    <row r="477" spans="1:7" x14ac:dyDescent="0.2">
      <c r="A477" s="43"/>
      <c r="B477" s="43"/>
      <c r="C477" s="43"/>
      <c r="D477" s="43"/>
      <c r="E477" s="43"/>
      <c r="F477" s="43"/>
      <c r="G477" s="43"/>
    </row>
    <row r="478" spans="1:7" x14ac:dyDescent="0.2">
      <c r="A478" s="44"/>
      <c r="B478" s="44"/>
      <c r="C478" s="44"/>
      <c r="D478" s="44"/>
      <c r="E478" s="44"/>
      <c r="F478" s="44"/>
      <c r="G478" s="44"/>
    </row>
    <row r="479" spans="1:7" x14ac:dyDescent="0.2">
      <c r="A479" s="43"/>
      <c r="B479" s="43"/>
      <c r="C479" s="43"/>
      <c r="D479" s="43"/>
      <c r="E479" s="43"/>
      <c r="F479" s="43"/>
      <c r="G479" s="43"/>
    </row>
    <row r="480" spans="1:7" x14ac:dyDescent="0.2">
      <c r="A480" s="44"/>
      <c r="B480" s="44"/>
      <c r="C480" s="44"/>
      <c r="D480" s="44"/>
      <c r="E480" s="44"/>
      <c r="F480" s="44"/>
      <c r="G480" s="44"/>
    </row>
    <row r="481" spans="1:7" x14ac:dyDescent="0.2">
      <c r="A481" s="43"/>
      <c r="B481" s="43"/>
      <c r="C481" s="43"/>
      <c r="D481" s="43"/>
      <c r="E481" s="43"/>
      <c r="F481" s="43"/>
      <c r="G481" s="43"/>
    </row>
    <row r="482" spans="1:7" x14ac:dyDescent="0.2">
      <c r="A482" s="44"/>
      <c r="B482" s="44"/>
      <c r="C482" s="44"/>
      <c r="D482" s="44"/>
      <c r="E482" s="44"/>
      <c r="F482" s="44"/>
      <c r="G482" s="44"/>
    </row>
    <row r="483" spans="1:7" x14ac:dyDescent="0.2">
      <c r="A483" s="43"/>
      <c r="B483" s="43"/>
      <c r="C483" s="43"/>
      <c r="D483" s="43"/>
      <c r="E483" s="43"/>
      <c r="F483" s="43"/>
      <c r="G483" s="43"/>
    </row>
    <row r="484" spans="1:7" x14ac:dyDescent="0.2">
      <c r="A484" s="44"/>
      <c r="B484" s="44"/>
      <c r="C484" s="44"/>
      <c r="D484" s="44"/>
      <c r="E484" s="44"/>
      <c r="F484" s="44"/>
      <c r="G484" s="44"/>
    </row>
    <row r="485" spans="1:7" x14ac:dyDescent="0.2">
      <c r="A485" s="43"/>
      <c r="B485" s="43"/>
      <c r="C485" s="43"/>
      <c r="D485" s="43"/>
      <c r="E485" s="43"/>
      <c r="F485" s="43"/>
      <c r="G485" s="43"/>
    </row>
    <row r="486" spans="1:7" x14ac:dyDescent="0.2">
      <c r="A486" s="44"/>
      <c r="B486" s="44"/>
      <c r="C486" s="44"/>
      <c r="D486" s="44"/>
      <c r="E486" s="44"/>
      <c r="F486" s="44"/>
      <c r="G486" s="44"/>
    </row>
    <row r="487" spans="1:7" x14ac:dyDescent="0.2">
      <c r="A487" s="43"/>
      <c r="B487" s="43"/>
      <c r="C487" s="43"/>
      <c r="D487" s="43"/>
      <c r="E487" s="43"/>
      <c r="F487" s="43"/>
      <c r="G487" s="43"/>
    </row>
    <row r="488" spans="1:7" x14ac:dyDescent="0.2">
      <c r="A488" s="44"/>
      <c r="B488" s="44"/>
      <c r="C488" s="44"/>
      <c r="D488" s="44"/>
      <c r="E488" s="44"/>
      <c r="F488" s="44"/>
      <c r="G488" s="44"/>
    </row>
    <row r="489" spans="1:7" x14ac:dyDescent="0.2">
      <c r="A489" s="43"/>
      <c r="B489" s="43"/>
      <c r="C489" s="43"/>
      <c r="D489" s="43"/>
      <c r="E489" s="43"/>
      <c r="F489" s="43"/>
      <c r="G489" s="43"/>
    </row>
    <row r="490" spans="1:7" x14ac:dyDescent="0.2">
      <c r="A490" s="44"/>
      <c r="B490" s="44"/>
      <c r="C490" s="44"/>
      <c r="D490" s="44"/>
      <c r="E490" s="44"/>
      <c r="F490" s="44"/>
      <c r="G490" s="44"/>
    </row>
    <row r="491" spans="1:7" x14ac:dyDescent="0.2">
      <c r="A491" s="43"/>
      <c r="B491" s="43"/>
      <c r="C491" s="43"/>
      <c r="D491" s="43"/>
      <c r="E491" s="43"/>
      <c r="F491" s="43"/>
      <c r="G491" s="43"/>
    </row>
    <row r="492" spans="1:7" x14ac:dyDescent="0.2">
      <c r="A492" s="44"/>
      <c r="B492" s="44"/>
      <c r="C492" s="44"/>
      <c r="D492" s="44"/>
      <c r="E492" s="44"/>
      <c r="F492" s="44"/>
      <c r="G492" s="44"/>
    </row>
    <row r="493" spans="1:7" x14ac:dyDescent="0.2">
      <c r="A493" s="43"/>
      <c r="B493" s="43"/>
      <c r="C493" s="43"/>
      <c r="D493" s="43"/>
      <c r="E493" s="43"/>
      <c r="F493" s="43"/>
      <c r="G493" s="43"/>
    </row>
    <row r="494" spans="1:7" x14ac:dyDescent="0.2">
      <c r="A494" s="44"/>
      <c r="B494" s="44"/>
      <c r="C494" s="44"/>
      <c r="D494" s="44"/>
      <c r="E494" s="44"/>
      <c r="F494" s="44"/>
      <c r="G494" s="44"/>
    </row>
    <row r="495" spans="1:7" x14ac:dyDescent="0.2">
      <c r="A495" s="43"/>
      <c r="B495" s="43"/>
      <c r="C495" s="43"/>
      <c r="D495" s="43"/>
      <c r="E495" s="43"/>
      <c r="F495" s="43"/>
      <c r="G495" s="43"/>
    </row>
    <row r="496" spans="1:7" x14ac:dyDescent="0.2">
      <c r="A496" s="44"/>
      <c r="B496" s="44"/>
      <c r="C496" s="44"/>
      <c r="D496" s="44"/>
      <c r="E496" s="44"/>
      <c r="F496" s="44"/>
      <c r="G496" s="44"/>
    </row>
    <row r="497" spans="1:7" x14ac:dyDescent="0.2">
      <c r="A497" s="43"/>
      <c r="B497" s="43"/>
      <c r="C497" s="43"/>
      <c r="D497" s="43"/>
      <c r="E497" s="43"/>
      <c r="F497" s="43"/>
      <c r="G497" s="43"/>
    </row>
    <row r="498" spans="1:7" x14ac:dyDescent="0.2">
      <c r="A498" s="44"/>
      <c r="B498" s="44"/>
      <c r="C498" s="44"/>
      <c r="D498" s="44"/>
      <c r="E498" s="44"/>
      <c r="F498" s="44"/>
      <c r="G498" s="44"/>
    </row>
    <row r="499" spans="1:7" x14ac:dyDescent="0.2">
      <c r="A499" s="43"/>
      <c r="B499" s="43"/>
      <c r="C499" s="43"/>
      <c r="D499" s="43"/>
      <c r="E499" s="43"/>
      <c r="F499" s="43"/>
      <c r="G499" s="43"/>
    </row>
    <row r="500" spans="1:7" x14ac:dyDescent="0.2">
      <c r="A500" s="44"/>
      <c r="B500" s="44"/>
      <c r="C500" s="44"/>
      <c r="D500" s="44"/>
      <c r="E500" s="44"/>
      <c r="F500" s="44"/>
      <c r="G500" s="44"/>
    </row>
    <row r="501" spans="1:7" x14ac:dyDescent="0.2">
      <c r="A501" s="43"/>
      <c r="B501" s="43"/>
      <c r="C501" s="43"/>
      <c r="D501" s="43"/>
      <c r="E501" s="43"/>
      <c r="F501" s="43"/>
      <c r="G501" s="43"/>
    </row>
    <row r="502" spans="1:7" x14ac:dyDescent="0.2">
      <c r="A502" s="44"/>
      <c r="B502" s="44"/>
      <c r="C502" s="44"/>
      <c r="D502" s="44"/>
      <c r="E502" s="44"/>
      <c r="F502" s="44"/>
      <c r="G502" s="44"/>
    </row>
    <row r="503" spans="1:7" x14ac:dyDescent="0.2">
      <c r="A503" s="43"/>
      <c r="B503" s="43"/>
      <c r="C503" s="43"/>
      <c r="D503" s="43"/>
      <c r="E503" s="43"/>
      <c r="F503" s="43"/>
      <c r="G503" s="43"/>
    </row>
    <row r="504" spans="1:7" x14ac:dyDescent="0.2">
      <c r="A504" s="44"/>
      <c r="B504" s="44"/>
      <c r="C504" s="44"/>
      <c r="D504" s="44"/>
      <c r="E504" s="44"/>
      <c r="F504" s="44"/>
      <c r="G504" s="44"/>
    </row>
    <row r="505" spans="1:7" x14ac:dyDescent="0.2">
      <c r="A505" s="43"/>
      <c r="B505" s="43"/>
      <c r="C505" s="43"/>
      <c r="D505" s="43"/>
      <c r="E505" s="43"/>
      <c r="F505" s="43"/>
      <c r="G505" s="43"/>
    </row>
    <row r="506" spans="1:7" x14ac:dyDescent="0.2">
      <c r="A506" s="44"/>
      <c r="B506" s="44"/>
      <c r="C506" s="44"/>
      <c r="D506" s="44"/>
      <c r="E506" s="44"/>
      <c r="F506" s="44"/>
      <c r="G506" s="44"/>
    </row>
    <row r="507" spans="1:7" x14ac:dyDescent="0.2">
      <c r="A507" s="43"/>
      <c r="B507" s="43"/>
      <c r="C507" s="43"/>
      <c r="D507" s="43"/>
      <c r="E507" s="43"/>
      <c r="F507" s="43"/>
      <c r="G507" s="43"/>
    </row>
    <row r="508" spans="1:7" x14ac:dyDescent="0.2">
      <c r="A508" s="44"/>
      <c r="B508" s="44"/>
      <c r="C508" s="44"/>
      <c r="D508" s="44"/>
      <c r="E508" s="44"/>
      <c r="F508" s="44"/>
      <c r="G508" s="44"/>
    </row>
    <row r="509" spans="1:7" x14ac:dyDescent="0.2">
      <c r="A509" s="43"/>
      <c r="B509" s="43"/>
      <c r="C509" s="43"/>
      <c r="D509" s="43"/>
      <c r="E509" s="43"/>
      <c r="F509" s="43"/>
      <c r="G509" s="43"/>
    </row>
    <row r="510" spans="1:7" x14ac:dyDescent="0.2">
      <c r="A510" s="44"/>
      <c r="B510" s="44"/>
      <c r="C510" s="44"/>
      <c r="D510" s="44"/>
      <c r="E510" s="44"/>
      <c r="F510" s="44"/>
      <c r="G510" s="44"/>
    </row>
    <row r="511" spans="1:7" x14ac:dyDescent="0.2">
      <c r="A511" s="43"/>
      <c r="B511" s="43"/>
      <c r="C511" s="43"/>
      <c r="D511" s="43"/>
      <c r="E511" s="43"/>
      <c r="F511" s="43"/>
      <c r="G511" s="43"/>
    </row>
    <row r="512" spans="1:7" x14ac:dyDescent="0.2">
      <c r="A512" s="44"/>
      <c r="B512" s="44"/>
      <c r="C512" s="44"/>
      <c r="D512" s="44"/>
      <c r="E512" s="44"/>
      <c r="F512" s="44"/>
      <c r="G512" s="44"/>
    </row>
    <row r="513" spans="1:7" x14ac:dyDescent="0.2">
      <c r="A513" s="43"/>
      <c r="B513" s="43"/>
      <c r="C513" s="43"/>
      <c r="D513" s="43"/>
      <c r="E513" s="43"/>
      <c r="F513" s="43"/>
      <c r="G513" s="43"/>
    </row>
    <row r="514" spans="1:7" x14ac:dyDescent="0.2">
      <c r="A514" s="44"/>
      <c r="B514" s="44"/>
      <c r="C514" s="44"/>
      <c r="D514" s="44"/>
      <c r="E514" s="44"/>
      <c r="F514" s="44"/>
      <c r="G514" s="44"/>
    </row>
    <row r="515" spans="1:7" x14ac:dyDescent="0.2">
      <c r="A515" s="43"/>
      <c r="B515" s="43"/>
      <c r="C515" s="43"/>
      <c r="D515" s="43"/>
      <c r="E515" s="43"/>
      <c r="F515" s="43"/>
      <c r="G515" s="43"/>
    </row>
    <row r="516" spans="1:7" x14ac:dyDescent="0.2">
      <c r="A516" s="44"/>
      <c r="B516" s="44"/>
      <c r="C516" s="44"/>
      <c r="D516" s="44"/>
      <c r="E516" s="44"/>
      <c r="F516" s="44"/>
      <c r="G516" s="44"/>
    </row>
    <row r="517" spans="1:7" x14ac:dyDescent="0.2">
      <c r="A517" s="43"/>
      <c r="B517" s="43"/>
      <c r="C517" s="43"/>
      <c r="D517" s="43"/>
      <c r="E517" s="43"/>
      <c r="F517" s="43"/>
      <c r="G517" s="43"/>
    </row>
    <row r="518" spans="1:7" x14ac:dyDescent="0.2">
      <c r="A518" s="44"/>
      <c r="B518" s="44"/>
      <c r="C518" s="44"/>
      <c r="D518" s="44"/>
      <c r="E518" s="44"/>
      <c r="F518" s="44"/>
      <c r="G518" s="44"/>
    </row>
    <row r="519" spans="1:7" x14ac:dyDescent="0.2">
      <c r="A519" s="43"/>
      <c r="B519" s="43"/>
      <c r="C519" s="43"/>
      <c r="D519" s="43"/>
      <c r="E519" s="43"/>
      <c r="F519" s="43"/>
      <c r="G519" s="43"/>
    </row>
    <row r="520" spans="1:7" x14ac:dyDescent="0.2">
      <c r="A520" s="44"/>
      <c r="B520" s="44"/>
      <c r="C520" s="44"/>
      <c r="D520" s="44"/>
      <c r="E520" s="44"/>
      <c r="F520" s="44"/>
      <c r="G520" s="44"/>
    </row>
    <row r="521" spans="1:7" x14ac:dyDescent="0.2">
      <c r="A521" s="43"/>
      <c r="B521" s="43"/>
      <c r="C521" s="43"/>
      <c r="D521" s="43"/>
      <c r="E521" s="43"/>
      <c r="F521" s="43"/>
      <c r="G521" s="43"/>
    </row>
    <row r="522" spans="1:7" x14ac:dyDescent="0.2">
      <c r="A522" s="44"/>
      <c r="B522" s="44"/>
      <c r="C522" s="44"/>
      <c r="D522" s="44"/>
      <c r="E522" s="44"/>
      <c r="F522" s="44"/>
      <c r="G522" s="44"/>
    </row>
    <row r="523" spans="1:7" x14ac:dyDescent="0.2">
      <c r="A523" s="43"/>
      <c r="B523" s="43"/>
      <c r="C523" s="43"/>
      <c r="D523" s="43"/>
      <c r="E523" s="43"/>
      <c r="F523" s="43"/>
      <c r="G523" s="43"/>
    </row>
    <row r="524" spans="1:7" x14ac:dyDescent="0.2">
      <c r="A524" s="44"/>
      <c r="B524" s="44"/>
      <c r="C524" s="44"/>
      <c r="D524" s="44"/>
      <c r="E524" s="44"/>
      <c r="F524" s="44"/>
      <c r="G524" s="44"/>
    </row>
    <row r="525" spans="1:7" x14ac:dyDescent="0.2">
      <c r="A525" s="43"/>
      <c r="B525" s="43"/>
      <c r="C525" s="43"/>
      <c r="D525" s="43"/>
      <c r="E525" s="43"/>
      <c r="F525" s="43"/>
      <c r="G525" s="43"/>
    </row>
    <row r="526" spans="1:7" x14ac:dyDescent="0.2">
      <c r="A526" s="44"/>
      <c r="B526" s="44"/>
      <c r="C526" s="44"/>
      <c r="D526" s="44"/>
      <c r="E526" s="44"/>
      <c r="F526" s="44"/>
      <c r="G526" s="44"/>
    </row>
    <row r="527" spans="1:7" x14ac:dyDescent="0.2">
      <c r="A527" s="43"/>
      <c r="B527" s="43"/>
      <c r="C527" s="43"/>
      <c r="D527" s="43"/>
      <c r="E527" s="43"/>
      <c r="F527" s="43"/>
      <c r="G527" s="43"/>
    </row>
    <row r="528" spans="1:7" x14ac:dyDescent="0.2">
      <c r="A528" s="44"/>
      <c r="B528" s="44"/>
      <c r="C528" s="44"/>
      <c r="D528" s="44"/>
      <c r="E528" s="44"/>
      <c r="F528" s="44"/>
      <c r="G528" s="44"/>
    </row>
    <row r="529" spans="1:7" x14ac:dyDescent="0.2">
      <c r="A529" s="43"/>
      <c r="B529" s="43"/>
      <c r="C529" s="43"/>
      <c r="D529" s="43"/>
      <c r="E529" s="43"/>
      <c r="F529" s="43"/>
      <c r="G529" s="43"/>
    </row>
    <row r="530" spans="1:7" x14ac:dyDescent="0.2">
      <c r="A530" s="44"/>
      <c r="B530" s="44"/>
      <c r="C530" s="44"/>
      <c r="D530" s="44"/>
      <c r="E530" s="44"/>
      <c r="F530" s="44"/>
      <c r="G530" s="44"/>
    </row>
    <row r="531" spans="1:7" x14ac:dyDescent="0.2">
      <c r="A531" s="43"/>
      <c r="B531" s="43"/>
      <c r="C531" s="43"/>
      <c r="D531" s="43"/>
      <c r="E531" s="43"/>
      <c r="F531" s="43"/>
      <c r="G531" s="43"/>
    </row>
    <row r="532" spans="1:7" x14ac:dyDescent="0.2">
      <c r="A532" s="44"/>
      <c r="B532" s="44"/>
      <c r="C532" s="44"/>
      <c r="D532" s="44"/>
      <c r="E532" s="44"/>
      <c r="F532" s="44"/>
      <c r="G532" s="44"/>
    </row>
    <row r="533" spans="1:7" x14ac:dyDescent="0.2">
      <c r="A533" s="43"/>
      <c r="B533" s="43"/>
      <c r="C533" s="43"/>
      <c r="D533" s="43"/>
      <c r="E533" s="43"/>
      <c r="F533" s="43"/>
      <c r="G533" s="43"/>
    </row>
    <row r="534" spans="1:7" x14ac:dyDescent="0.2">
      <c r="A534" s="44"/>
      <c r="B534" s="44"/>
      <c r="C534" s="44"/>
      <c r="D534" s="44"/>
      <c r="E534" s="44"/>
      <c r="F534" s="44"/>
      <c r="G534" s="44"/>
    </row>
    <row r="535" spans="1:7" x14ac:dyDescent="0.2">
      <c r="A535" s="43"/>
      <c r="B535" s="43"/>
      <c r="C535" s="43"/>
      <c r="D535" s="43"/>
      <c r="E535" s="43"/>
      <c r="F535" s="43"/>
      <c r="G535" s="43"/>
    </row>
    <row r="536" spans="1:7" x14ac:dyDescent="0.2">
      <c r="A536" s="44"/>
      <c r="B536" s="44"/>
      <c r="C536" s="44"/>
      <c r="D536" s="44"/>
      <c r="E536" s="44"/>
      <c r="F536" s="44"/>
      <c r="G536" s="44"/>
    </row>
    <row r="537" spans="1:7" x14ac:dyDescent="0.2">
      <c r="A537" s="43"/>
      <c r="B537" s="43"/>
      <c r="C537" s="43"/>
      <c r="D537" s="43"/>
      <c r="E537" s="43"/>
      <c r="F537" s="43"/>
      <c r="G537" s="43"/>
    </row>
    <row r="538" spans="1:7" x14ac:dyDescent="0.2">
      <c r="A538" s="44"/>
      <c r="B538" s="44"/>
      <c r="C538" s="44"/>
      <c r="D538" s="44"/>
      <c r="E538" s="44"/>
      <c r="F538" s="44"/>
      <c r="G538" s="44"/>
    </row>
    <row r="539" spans="1:7" x14ac:dyDescent="0.2">
      <c r="A539" s="43"/>
      <c r="B539" s="43"/>
      <c r="C539" s="43"/>
      <c r="D539" s="43"/>
      <c r="E539" s="43"/>
      <c r="F539" s="43"/>
      <c r="G539" s="43"/>
    </row>
    <row r="540" spans="1:7" x14ac:dyDescent="0.2">
      <c r="A540" s="44"/>
      <c r="B540" s="44"/>
      <c r="C540" s="44"/>
      <c r="D540" s="44"/>
      <c r="E540" s="44"/>
      <c r="F540" s="44"/>
      <c r="G540" s="44"/>
    </row>
    <row r="541" spans="1:7" x14ac:dyDescent="0.2">
      <c r="A541" s="43"/>
      <c r="B541" s="43"/>
      <c r="C541" s="43"/>
      <c r="D541" s="43"/>
      <c r="E541" s="43"/>
      <c r="F541" s="43"/>
      <c r="G541" s="43"/>
    </row>
    <row r="542" spans="1:7" x14ac:dyDescent="0.2">
      <c r="A542" s="44"/>
      <c r="B542" s="44"/>
      <c r="C542" s="44"/>
      <c r="D542" s="44"/>
      <c r="E542" s="44"/>
      <c r="F542" s="44"/>
      <c r="G542" s="44"/>
    </row>
    <row r="543" spans="1:7" x14ac:dyDescent="0.2">
      <c r="A543" s="43"/>
      <c r="B543" s="43"/>
      <c r="C543" s="43"/>
      <c r="D543" s="43"/>
      <c r="E543" s="43"/>
      <c r="F543" s="43"/>
      <c r="G543" s="43"/>
    </row>
    <row r="544" spans="1:7" x14ac:dyDescent="0.2">
      <c r="A544" s="44"/>
      <c r="B544" s="44"/>
      <c r="C544" s="44"/>
      <c r="D544" s="44"/>
      <c r="E544" s="44"/>
      <c r="F544" s="44"/>
      <c r="G544" s="44"/>
    </row>
    <row r="545" spans="1:7" x14ac:dyDescent="0.2">
      <c r="A545" s="43"/>
      <c r="B545" s="43"/>
      <c r="C545" s="43"/>
      <c r="D545" s="43"/>
      <c r="E545" s="43"/>
      <c r="F545" s="43"/>
      <c r="G545" s="43"/>
    </row>
    <row r="546" spans="1:7" x14ac:dyDescent="0.2">
      <c r="A546" s="44"/>
      <c r="B546" s="44"/>
      <c r="C546" s="44"/>
      <c r="D546" s="44"/>
      <c r="E546" s="44"/>
      <c r="F546" s="44"/>
      <c r="G546" s="44"/>
    </row>
    <row r="547" spans="1:7" x14ac:dyDescent="0.2">
      <c r="A547" s="43"/>
      <c r="B547" s="43"/>
      <c r="C547" s="43"/>
      <c r="D547" s="43"/>
      <c r="E547" s="43"/>
      <c r="F547" s="43"/>
      <c r="G547" s="43"/>
    </row>
    <row r="548" spans="1:7" x14ac:dyDescent="0.2">
      <c r="A548" s="44"/>
      <c r="B548" s="44"/>
      <c r="C548" s="44"/>
      <c r="D548" s="44"/>
      <c r="E548" s="44"/>
      <c r="F548" s="44"/>
      <c r="G548" s="44"/>
    </row>
    <row r="549" spans="1:7" x14ac:dyDescent="0.2">
      <c r="A549" s="43"/>
      <c r="B549" s="43"/>
      <c r="C549" s="43"/>
      <c r="D549" s="43"/>
      <c r="E549" s="43"/>
      <c r="F549" s="43"/>
      <c r="G549" s="43"/>
    </row>
    <row r="550" spans="1:7" x14ac:dyDescent="0.2">
      <c r="A550" s="44"/>
      <c r="B550" s="44"/>
      <c r="C550" s="44"/>
      <c r="D550" s="44"/>
      <c r="E550" s="44"/>
      <c r="F550" s="44"/>
      <c r="G550" s="44"/>
    </row>
    <row r="551" spans="1:7" x14ac:dyDescent="0.2">
      <c r="A551" s="43"/>
      <c r="B551" s="43"/>
      <c r="C551" s="43"/>
      <c r="D551" s="43"/>
      <c r="E551" s="43"/>
      <c r="F551" s="43"/>
      <c r="G551" s="43"/>
    </row>
    <row r="552" spans="1:7" x14ac:dyDescent="0.2">
      <c r="A552" s="44"/>
      <c r="B552" s="44"/>
      <c r="C552" s="44"/>
      <c r="D552" s="44"/>
      <c r="E552" s="44"/>
      <c r="F552" s="44"/>
      <c r="G552" s="44"/>
    </row>
    <row r="553" spans="1:7" x14ac:dyDescent="0.2">
      <c r="A553" s="43"/>
      <c r="B553" s="43"/>
      <c r="C553" s="43"/>
      <c r="D553" s="43"/>
      <c r="E553" s="43"/>
      <c r="F553" s="43"/>
      <c r="G553" s="43"/>
    </row>
    <row r="554" spans="1:7" x14ac:dyDescent="0.2">
      <c r="A554" s="44"/>
      <c r="B554" s="44"/>
      <c r="C554" s="44"/>
      <c r="D554" s="44"/>
      <c r="E554" s="44"/>
      <c r="F554" s="44"/>
      <c r="G554" s="44"/>
    </row>
    <row r="555" spans="1:7" x14ac:dyDescent="0.2">
      <c r="A555" s="43"/>
      <c r="B555" s="43"/>
      <c r="C555" s="43"/>
      <c r="D555" s="43"/>
      <c r="E555" s="43"/>
      <c r="F555" s="43"/>
      <c r="G555" s="43"/>
    </row>
    <row r="556" spans="1:7" x14ac:dyDescent="0.2">
      <c r="A556" s="44"/>
      <c r="B556" s="44"/>
      <c r="C556" s="44"/>
      <c r="D556" s="44"/>
      <c r="E556" s="44"/>
      <c r="F556" s="44"/>
      <c r="G556" s="44"/>
    </row>
    <row r="557" spans="1:7" x14ac:dyDescent="0.2">
      <c r="A557" s="43"/>
      <c r="B557" s="43"/>
      <c r="C557" s="43"/>
      <c r="D557" s="43"/>
      <c r="E557" s="43"/>
      <c r="F557" s="43"/>
      <c r="G557" s="43"/>
    </row>
    <row r="558" spans="1:7" x14ac:dyDescent="0.2">
      <c r="A558" s="44"/>
      <c r="B558" s="44"/>
      <c r="C558" s="44"/>
      <c r="D558" s="44"/>
      <c r="E558" s="44"/>
      <c r="F558" s="44"/>
      <c r="G558" s="44"/>
    </row>
    <row r="559" spans="1:7" x14ac:dyDescent="0.2">
      <c r="A559" s="43"/>
      <c r="B559" s="43"/>
      <c r="C559" s="43"/>
      <c r="D559" s="43"/>
      <c r="E559" s="43"/>
      <c r="F559" s="43"/>
      <c r="G559" s="43"/>
    </row>
    <row r="560" spans="1:7" x14ac:dyDescent="0.2">
      <c r="A560" s="44"/>
      <c r="B560" s="44"/>
      <c r="C560" s="44"/>
      <c r="D560" s="44"/>
      <c r="E560" s="44"/>
      <c r="F560" s="44"/>
      <c r="G560" s="44"/>
    </row>
    <row r="561" spans="1:7" x14ac:dyDescent="0.2">
      <c r="A561" s="43"/>
      <c r="B561" s="43"/>
      <c r="C561" s="43"/>
      <c r="D561" s="43"/>
      <c r="E561" s="43"/>
      <c r="F561" s="43"/>
      <c r="G561" s="43"/>
    </row>
    <row r="562" spans="1:7" x14ac:dyDescent="0.2">
      <c r="A562" s="44"/>
      <c r="B562" s="44"/>
      <c r="C562" s="44"/>
      <c r="D562" s="44"/>
      <c r="E562" s="44"/>
      <c r="F562" s="44"/>
      <c r="G562" s="44"/>
    </row>
    <row r="563" spans="1:7" x14ac:dyDescent="0.2">
      <c r="A563" s="43"/>
      <c r="B563" s="43"/>
      <c r="C563" s="43"/>
      <c r="D563" s="43"/>
      <c r="E563" s="43"/>
      <c r="F563" s="43"/>
      <c r="G563" s="43"/>
    </row>
    <row r="564" spans="1:7" x14ac:dyDescent="0.2">
      <c r="A564" s="44"/>
      <c r="B564" s="44"/>
      <c r="C564" s="44"/>
      <c r="D564" s="44"/>
      <c r="E564" s="44"/>
      <c r="F564" s="44"/>
      <c r="G564" s="44"/>
    </row>
    <row r="565" spans="1:7" x14ac:dyDescent="0.2">
      <c r="A565" s="43"/>
      <c r="B565" s="43"/>
      <c r="C565" s="43"/>
      <c r="D565" s="43"/>
      <c r="E565" s="43"/>
      <c r="F565" s="43"/>
      <c r="G565" s="43"/>
    </row>
    <row r="566" spans="1:7" x14ac:dyDescent="0.2">
      <c r="A566" s="44"/>
      <c r="B566" s="44"/>
      <c r="C566" s="44"/>
      <c r="D566" s="44"/>
      <c r="E566" s="44"/>
      <c r="F566" s="44"/>
      <c r="G566" s="44"/>
    </row>
    <row r="567" spans="1:7" x14ac:dyDescent="0.2">
      <c r="A567" s="43"/>
      <c r="B567" s="43"/>
      <c r="C567" s="43"/>
      <c r="D567" s="43"/>
      <c r="E567" s="43"/>
      <c r="F567" s="43"/>
      <c r="G567" s="43"/>
    </row>
    <row r="568" spans="1:7" x14ac:dyDescent="0.2">
      <c r="A568" s="44"/>
      <c r="B568" s="44"/>
      <c r="C568" s="44"/>
      <c r="D568" s="44"/>
      <c r="E568" s="44"/>
      <c r="F568" s="44"/>
      <c r="G568" s="44"/>
    </row>
    <row r="569" spans="1:7" x14ac:dyDescent="0.2">
      <c r="A569" s="43"/>
      <c r="B569" s="43"/>
      <c r="C569" s="43"/>
      <c r="D569" s="43"/>
      <c r="E569" s="43"/>
      <c r="F569" s="43"/>
      <c r="G569" s="43"/>
    </row>
    <row r="570" spans="1:7" x14ac:dyDescent="0.2">
      <c r="A570" s="44"/>
      <c r="B570" s="44"/>
      <c r="C570" s="44"/>
      <c r="D570" s="44"/>
      <c r="E570" s="44"/>
      <c r="F570" s="44"/>
      <c r="G570" s="44"/>
    </row>
    <row r="571" spans="1:7" x14ac:dyDescent="0.2">
      <c r="A571" s="43"/>
      <c r="B571" s="43"/>
      <c r="C571" s="43"/>
      <c r="D571" s="43"/>
      <c r="E571" s="43"/>
      <c r="F571" s="43"/>
      <c r="G571" s="43"/>
    </row>
    <row r="572" spans="1:7" x14ac:dyDescent="0.2">
      <c r="A572" s="44"/>
      <c r="B572" s="44"/>
      <c r="C572" s="44"/>
      <c r="D572" s="44"/>
      <c r="E572" s="44"/>
      <c r="F572" s="44"/>
      <c r="G572" s="44"/>
    </row>
    <row r="573" spans="1:7" x14ac:dyDescent="0.2">
      <c r="A573" s="43"/>
      <c r="B573" s="43"/>
      <c r="C573" s="43"/>
      <c r="D573" s="43"/>
      <c r="E573" s="43"/>
      <c r="F573" s="43"/>
      <c r="G573" s="43"/>
    </row>
    <row r="574" spans="1:7" x14ac:dyDescent="0.2">
      <c r="A574" s="44"/>
      <c r="B574" s="44"/>
      <c r="C574" s="44"/>
      <c r="D574" s="44"/>
      <c r="E574" s="44"/>
      <c r="F574" s="44"/>
      <c r="G574" s="44"/>
    </row>
    <row r="575" spans="1:7" x14ac:dyDescent="0.2">
      <c r="A575" s="43"/>
      <c r="B575" s="43"/>
      <c r="C575" s="43"/>
      <c r="D575" s="43"/>
      <c r="E575" s="43"/>
      <c r="F575" s="43"/>
      <c r="G575" s="43"/>
    </row>
    <row r="576" spans="1:7" x14ac:dyDescent="0.2">
      <c r="A576" s="44"/>
      <c r="B576" s="44"/>
      <c r="C576" s="44"/>
      <c r="D576" s="44"/>
      <c r="E576" s="44"/>
      <c r="F576" s="44"/>
      <c r="G576" s="44"/>
    </row>
    <row r="577" spans="1:7" x14ac:dyDescent="0.2">
      <c r="A577" s="43"/>
      <c r="B577" s="43"/>
      <c r="C577" s="43"/>
      <c r="D577" s="43"/>
      <c r="E577" s="43"/>
      <c r="F577" s="43"/>
      <c r="G577" s="43"/>
    </row>
    <row r="578" spans="1:7" x14ac:dyDescent="0.2">
      <c r="A578" s="44"/>
      <c r="B578" s="44"/>
      <c r="C578" s="44"/>
      <c r="D578" s="44"/>
      <c r="E578" s="44"/>
      <c r="F578" s="44"/>
      <c r="G578" s="44"/>
    </row>
    <row r="579" spans="1:7" x14ac:dyDescent="0.2">
      <c r="A579" s="43"/>
      <c r="B579" s="43"/>
      <c r="C579" s="43"/>
      <c r="D579" s="43"/>
      <c r="E579" s="43"/>
      <c r="F579" s="43"/>
      <c r="G579" s="43"/>
    </row>
    <row r="580" spans="1:7" x14ac:dyDescent="0.2">
      <c r="A580" s="44"/>
      <c r="B580" s="44"/>
      <c r="C580" s="44"/>
      <c r="D580" s="44"/>
      <c r="E580" s="44"/>
      <c r="F580" s="44"/>
      <c r="G580" s="44"/>
    </row>
    <row r="581" spans="1:7" x14ac:dyDescent="0.2">
      <c r="A581" s="43"/>
      <c r="B581" s="43"/>
      <c r="C581" s="43"/>
      <c r="D581" s="43"/>
      <c r="E581" s="43"/>
      <c r="F581" s="43"/>
      <c r="G581" s="43"/>
    </row>
    <row r="582" spans="1:7" x14ac:dyDescent="0.2">
      <c r="A582" s="44"/>
      <c r="B582" s="44"/>
      <c r="C582" s="44"/>
      <c r="D582" s="44"/>
      <c r="E582" s="44"/>
      <c r="F582" s="44"/>
      <c r="G582" s="44"/>
    </row>
    <row r="583" spans="1:7" x14ac:dyDescent="0.2">
      <c r="A583" s="43"/>
      <c r="B583" s="43"/>
      <c r="C583" s="43"/>
      <c r="D583" s="43"/>
      <c r="E583" s="43"/>
      <c r="F583" s="43"/>
      <c r="G583" s="43"/>
    </row>
    <row r="584" spans="1:7" x14ac:dyDescent="0.2">
      <c r="A584" s="44"/>
      <c r="B584" s="44"/>
      <c r="C584" s="44"/>
      <c r="D584" s="44"/>
      <c r="E584" s="44"/>
      <c r="F584" s="44"/>
      <c r="G584" s="44"/>
    </row>
    <row r="585" spans="1:7" x14ac:dyDescent="0.2">
      <c r="A585" s="43"/>
      <c r="B585" s="43"/>
      <c r="C585" s="43"/>
      <c r="D585" s="43"/>
      <c r="E585" s="43"/>
      <c r="F585" s="43"/>
      <c r="G585" s="43"/>
    </row>
    <row r="586" spans="1:7" x14ac:dyDescent="0.2">
      <c r="A586" s="44"/>
      <c r="B586" s="44"/>
      <c r="C586" s="44"/>
      <c r="D586" s="44"/>
      <c r="E586" s="44"/>
      <c r="F586" s="44"/>
      <c r="G586" s="44"/>
    </row>
    <row r="587" spans="1:7" x14ac:dyDescent="0.2">
      <c r="A587" s="43"/>
      <c r="B587" s="43"/>
      <c r="C587" s="43"/>
      <c r="D587" s="43"/>
      <c r="E587" s="43"/>
      <c r="F587" s="43"/>
      <c r="G587" s="43"/>
    </row>
    <row r="588" spans="1:7" x14ac:dyDescent="0.2">
      <c r="A588" s="44"/>
      <c r="B588" s="44"/>
      <c r="C588" s="44"/>
      <c r="D588" s="44"/>
      <c r="E588" s="44"/>
      <c r="F588" s="44"/>
      <c r="G588" s="44"/>
    </row>
    <row r="589" spans="1:7" x14ac:dyDescent="0.2">
      <c r="A589" s="43"/>
      <c r="B589" s="43"/>
      <c r="C589" s="43"/>
      <c r="D589" s="43"/>
      <c r="E589" s="43"/>
      <c r="F589" s="43"/>
      <c r="G589" s="43"/>
    </row>
    <row r="590" spans="1:7" x14ac:dyDescent="0.2">
      <c r="A590" s="44"/>
      <c r="B590" s="44"/>
      <c r="C590" s="44"/>
      <c r="D590" s="44"/>
      <c r="E590" s="44"/>
      <c r="F590" s="44"/>
      <c r="G590" s="44"/>
    </row>
    <row r="591" spans="1:7" x14ac:dyDescent="0.2">
      <c r="A591" s="43"/>
      <c r="B591" s="43"/>
      <c r="C591" s="43"/>
      <c r="D591" s="43"/>
      <c r="E591" s="43"/>
      <c r="F591" s="43"/>
      <c r="G591" s="43"/>
    </row>
    <row r="592" spans="1:7" x14ac:dyDescent="0.2">
      <c r="A592" s="44"/>
      <c r="B592" s="44"/>
      <c r="C592" s="44"/>
      <c r="D592" s="44"/>
      <c r="E592" s="44"/>
      <c r="F592" s="44"/>
      <c r="G592" s="44"/>
    </row>
    <row r="593" spans="1:7" x14ac:dyDescent="0.2">
      <c r="A593" s="43"/>
      <c r="B593" s="43"/>
      <c r="C593" s="43"/>
      <c r="D593" s="43"/>
      <c r="E593" s="43"/>
      <c r="F593" s="43"/>
      <c r="G593" s="43"/>
    </row>
    <row r="594" spans="1:7" x14ac:dyDescent="0.2">
      <c r="A594" s="44"/>
      <c r="B594" s="44"/>
      <c r="C594" s="44"/>
      <c r="D594" s="44"/>
      <c r="E594" s="44"/>
      <c r="F594" s="44"/>
      <c r="G594" s="44"/>
    </row>
    <row r="595" spans="1:7" x14ac:dyDescent="0.2">
      <c r="A595" s="43"/>
      <c r="B595" s="43"/>
      <c r="C595" s="43"/>
      <c r="D595" s="43"/>
      <c r="E595" s="43"/>
      <c r="F595" s="43"/>
      <c r="G595" s="43"/>
    </row>
    <row r="596" spans="1:7" x14ac:dyDescent="0.2">
      <c r="A596" s="44"/>
      <c r="B596" s="44"/>
      <c r="C596" s="44"/>
      <c r="D596" s="44"/>
      <c r="E596" s="44"/>
      <c r="F596" s="44"/>
      <c r="G596" s="44"/>
    </row>
    <row r="597" spans="1:7" x14ac:dyDescent="0.2">
      <c r="A597" s="43"/>
      <c r="B597" s="43"/>
      <c r="C597" s="43"/>
      <c r="D597" s="43"/>
      <c r="E597" s="43"/>
      <c r="F597" s="43"/>
      <c r="G597" s="43"/>
    </row>
    <row r="598" spans="1:7" x14ac:dyDescent="0.2">
      <c r="A598" s="44"/>
      <c r="B598" s="44"/>
      <c r="C598" s="44"/>
      <c r="D598" s="44"/>
      <c r="E598" s="44"/>
      <c r="F598" s="44"/>
      <c r="G598" s="44"/>
    </row>
    <row r="599" spans="1:7" x14ac:dyDescent="0.2">
      <c r="A599" s="43"/>
      <c r="B599" s="43"/>
      <c r="C599" s="43"/>
      <c r="D599" s="43"/>
      <c r="E599" s="43"/>
      <c r="F599" s="43"/>
      <c r="G599" s="43"/>
    </row>
    <row r="600" spans="1:7" x14ac:dyDescent="0.2">
      <c r="A600" s="44"/>
      <c r="B600" s="44"/>
      <c r="C600" s="44"/>
      <c r="D600" s="44"/>
      <c r="E600" s="44"/>
      <c r="F600" s="44"/>
      <c r="G600" s="44"/>
    </row>
    <row r="601" spans="1:7" x14ac:dyDescent="0.2">
      <c r="A601" s="43"/>
      <c r="B601" s="43"/>
      <c r="C601" s="43"/>
      <c r="D601" s="43"/>
      <c r="E601" s="43"/>
      <c r="F601" s="43"/>
      <c r="G601" s="43"/>
    </row>
    <row r="602" spans="1:7" x14ac:dyDescent="0.2">
      <c r="A602" s="44"/>
      <c r="B602" s="44"/>
      <c r="C602" s="44"/>
      <c r="D602" s="44"/>
      <c r="E602" s="44"/>
      <c r="F602" s="44"/>
      <c r="G602" s="44"/>
    </row>
    <row r="603" spans="1:7" x14ac:dyDescent="0.2">
      <c r="A603" s="43"/>
      <c r="B603" s="43"/>
      <c r="C603" s="43"/>
      <c r="D603" s="43"/>
      <c r="E603" s="43"/>
      <c r="F603" s="43"/>
      <c r="G603" s="43"/>
    </row>
    <row r="604" spans="1:7" x14ac:dyDescent="0.2">
      <c r="A604" s="44"/>
      <c r="B604" s="44"/>
      <c r="C604" s="44"/>
      <c r="D604" s="44"/>
      <c r="E604" s="44"/>
      <c r="F604" s="44"/>
      <c r="G604" s="44"/>
    </row>
    <row r="605" spans="1:7" x14ac:dyDescent="0.2">
      <c r="A605" s="43"/>
      <c r="B605" s="43"/>
      <c r="C605" s="43"/>
      <c r="D605" s="43"/>
      <c r="E605" s="43"/>
      <c r="F605" s="43"/>
      <c r="G605" s="43"/>
    </row>
    <row r="606" spans="1:7" x14ac:dyDescent="0.2">
      <c r="A606" s="44"/>
      <c r="B606" s="44"/>
      <c r="C606" s="44"/>
      <c r="D606" s="44"/>
      <c r="E606" s="44"/>
      <c r="F606" s="44"/>
      <c r="G606" s="44"/>
    </row>
    <row r="607" spans="1:7" x14ac:dyDescent="0.2">
      <c r="A607" s="43"/>
      <c r="B607" s="43"/>
      <c r="C607" s="43"/>
      <c r="D607" s="43"/>
      <c r="E607" s="43"/>
      <c r="F607" s="43"/>
      <c r="G607" s="43"/>
    </row>
    <row r="608" spans="1:7" x14ac:dyDescent="0.2">
      <c r="A608" s="44"/>
      <c r="B608" s="44"/>
      <c r="C608" s="44"/>
      <c r="D608" s="44"/>
      <c r="E608" s="44"/>
      <c r="F608" s="44"/>
      <c r="G608" s="44"/>
    </row>
    <row r="609" spans="1:7" x14ac:dyDescent="0.2">
      <c r="A609" s="43"/>
      <c r="B609" s="43"/>
      <c r="C609" s="43"/>
      <c r="D609" s="43"/>
      <c r="E609" s="43"/>
      <c r="F609" s="43"/>
      <c r="G609" s="43"/>
    </row>
    <row r="610" spans="1:7" x14ac:dyDescent="0.2">
      <c r="A610" s="44"/>
      <c r="B610" s="44"/>
      <c r="C610" s="44"/>
      <c r="D610" s="44"/>
      <c r="E610" s="44"/>
      <c r="F610" s="44"/>
      <c r="G610" s="44"/>
    </row>
    <row r="611" spans="1:7" x14ac:dyDescent="0.2">
      <c r="A611" s="43"/>
      <c r="B611" s="43"/>
      <c r="C611" s="43"/>
      <c r="D611" s="43"/>
      <c r="E611" s="43"/>
      <c r="F611" s="43"/>
      <c r="G611" s="43"/>
    </row>
    <row r="612" spans="1:7" x14ac:dyDescent="0.2">
      <c r="A612" s="44"/>
      <c r="B612" s="44"/>
      <c r="C612" s="44"/>
      <c r="D612" s="44"/>
      <c r="E612" s="44"/>
      <c r="F612" s="44"/>
      <c r="G612" s="44"/>
    </row>
    <row r="613" spans="1:7" x14ac:dyDescent="0.2">
      <c r="A613" s="43"/>
      <c r="B613" s="43"/>
      <c r="C613" s="43"/>
      <c r="D613" s="43"/>
      <c r="E613" s="43"/>
      <c r="F613" s="43"/>
      <c r="G613" s="43"/>
    </row>
    <row r="614" spans="1:7" x14ac:dyDescent="0.2">
      <c r="A614" s="44"/>
      <c r="B614" s="44"/>
      <c r="C614" s="44"/>
      <c r="D614" s="44"/>
      <c r="E614" s="44"/>
      <c r="F614" s="44"/>
      <c r="G614" s="44"/>
    </row>
    <row r="615" spans="1:7" x14ac:dyDescent="0.2">
      <c r="A615" s="43"/>
      <c r="B615" s="43"/>
      <c r="C615" s="43"/>
      <c r="D615" s="43"/>
      <c r="E615" s="43"/>
      <c r="F615" s="43"/>
      <c r="G615" s="43"/>
    </row>
    <row r="616" spans="1:7" x14ac:dyDescent="0.2">
      <c r="A616" s="44"/>
      <c r="B616" s="44"/>
      <c r="C616" s="44"/>
      <c r="D616" s="44"/>
      <c r="E616" s="44"/>
      <c r="F616" s="44"/>
      <c r="G616" s="44"/>
    </row>
    <row r="617" spans="1:7" x14ac:dyDescent="0.2">
      <c r="A617" s="43"/>
      <c r="B617" s="43"/>
      <c r="C617" s="43"/>
      <c r="D617" s="43"/>
      <c r="E617" s="43"/>
      <c r="F617" s="43"/>
      <c r="G617" s="43"/>
    </row>
    <row r="618" spans="1:7" x14ac:dyDescent="0.2">
      <c r="A618" s="44"/>
      <c r="B618" s="44"/>
      <c r="C618" s="44"/>
      <c r="D618" s="44"/>
      <c r="E618" s="44"/>
      <c r="F618" s="44"/>
      <c r="G618" s="44"/>
    </row>
    <row r="619" spans="1:7" x14ac:dyDescent="0.2">
      <c r="A619" s="43"/>
      <c r="B619" s="43"/>
      <c r="C619" s="43"/>
      <c r="D619" s="43"/>
      <c r="E619" s="43"/>
      <c r="F619" s="43"/>
      <c r="G619" s="43"/>
    </row>
    <row r="620" spans="1:7" x14ac:dyDescent="0.2">
      <c r="A620" s="44"/>
      <c r="B620" s="44"/>
      <c r="C620" s="44"/>
      <c r="D620" s="44"/>
      <c r="E620" s="44"/>
      <c r="F620" s="44"/>
      <c r="G620" s="44"/>
    </row>
    <row r="621" spans="1:7" x14ac:dyDescent="0.2">
      <c r="A621" s="43"/>
      <c r="B621" s="43"/>
      <c r="C621" s="43"/>
      <c r="D621" s="43"/>
      <c r="E621" s="43"/>
      <c r="F621" s="43"/>
      <c r="G621" s="43"/>
    </row>
    <row r="622" spans="1:7" x14ac:dyDescent="0.2">
      <c r="A622" s="44"/>
      <c r="B622" s="44"/>
      <c r="C622" s="44"/>
      <c r="D622" s="44"/>
      <c r="E622" s="44"/>
      <c r="F622" s="44"/>
      <c r="G622" s="44"/>
    </row>
    <row r="623" spans="1:7" x14ac:dyDescent="0.2">
      <c r="A623" s="43"/>
      <c r="B623" s="43"/>
      <c r="C623" s="43"/>
      <c r="D623" s="43"/>
      <c r="E623" s="43"/>
      <c r="F623" s="43"/>
      <c r="G623" s="43"/>
    </row>
    <row r="624" spans="1:7" x14ac:dyDescent="0.2">
      <c r="A624" s="44"/>
      <c r="B624" s="44"/>
      <c r="C624" s="44"/>
      <c r="D624" s="44"/>
      <c r="E624" s="44"/>
      <c r="F624" s="44"/>
      <c r="G624" s="44"/>
    </row>
    <row r="625" spans="1:7" x14ac:dyDescent="0.2">
      <c r="A625" s="43"/>
      <c r="B625" s="43"/>
      <c r="C625" s="43"/>
      <c r="D625" s="43"/>
      <c r="E625" s="43"/>
      <c r="F625" s="43"/>
      <c r="G625" s="43"/>
    </row>
    <row r="626" spans="1:7" x14ac:dyDescent="0.2">
      <c r="A626" s="44"/>
      <c r="B626" s="44"/>
      <c r="C626" s="44"/>
      <c r="D626" s="44"/>
      <c r="E626" s="44"/>
      <c r="F626" s="44"/>
      <c r="G626" s="44"/>
    </row>
    <row r="627" spans="1:7" x14ac:dyDescent="0.2">
      <c r="A627" s="43"/>
      <c r="B627" s="43"/>
      <c r="C627" s="43"/>
      <c r="D627" s="43"/>
      <c r="E627" s="43"/>
      <c r="F627" s="43"/>
      <c r="G627" s="43"/>
    </row>
    <row r="628" spans="1:7" x14ac:dyDescent="0.2">
      <c r="A628" s="44"/>
      <c r="B628" s="44"/>
      <c r="C628" s="44"/>
      <c r="D628" s="44"/>
      <c r="E628" s="44"/>
      <c r="F628" s="44"/>
      <c r="G628" s="44"/>
    </row>
    <row r="629" spans="1:7" x14ac:dyDescent="0.2">
      <c r="A629" s="43"/>
      <c r="B629" s="43"/>
      <c r="C629" s="43"/>
      <c r="D629" s="43"/>
      <c r="E629" s="43"/>
      <c r="F629" s="43"/>
      <c r="G629" s="43"/>
    </row>
    <row r="630" spans="1:7" x14ac:dyDescent="0.2">
      <c r="A630" s="44"/>
      <c r="B630" s="44"/>
      <c r="C630" s="44"/>
      <c r="D630" s="44"/>
      <c r="E630" s="44"/>
      <c r="F630" s="44"/>
      <c r="G630" s="44"/>
    </row>
    <row r="631" spans="1:7" x14ac:dyDescent="0.2">
      <c r="A631" s="43"/>
      <c r="B631" s="43"/>
      <c r="C631" s="43"/>
      <c r="D631" s="43"/>
      <c r="E631" s="43"/>
      <c r="F631" s="43"/>
      <c r="G631" s="43"/>
    </row>
    <row r="632" spans="1:7" x14ac:dyDescent="0.2">
      <c r="A632" s="44"/>
      <c r="B632" s="44"/>
      <c r="C632" s="44"/>
      <c r="D632" s="44"/>
      <c r="E632" s="44"/>
      <c r="F632" s="44"/>
      <c r="G632" s="44"/>
    </row>
    <row r="633" spans="1:7" x14ac:dyDescent="0.2">
      <c r="A633" s="43"/>
      <c r="B633" s="43"/>
      <c r="C633" s="43"/>
      <c r="D633" s="43"/>
      <c r="E633" s="43"/>
      <c r="F633" s="43"/>
      <c r="G633" s="43"/>
    </row>
    <row r="634" spans="1:7" x14ac:dyDescent="0.2">
      <c r="A634" s="44"/>
      <c r="B634" s="44"/>
      <c r="C634" s="44"/>
      <c r="D634" s="44"/>
      <c r="E634" s="44"/>
      <c r="F634" s="44"/>
      <c r="G634" s="44"/>
    </row>
    <row r="635" spans="1:7" x14ac:dyDescent="0.2">
      <c r="A635" s="43"/>
      <c r="B635" s="43"/>
      <c r="C635" s="43"/>
      <c r="D635" s="43"/>
      <c r="E635" s="43"/>
      <c r="F635" s="43"/>
      <c r="G635" s="43"/>
    </row>
    <row r="636" spans="1:7" x14ac:dyDescent="0.2">
      <c r="A636" s="44"/>
      <c r="B636" s="44"/>
      <c r="C636" s="44"/>
      <c r="D636" s="44"/>
      <c r="E636" s="44"/>
      <c r="F636" s="44"/>
      <c r="G636" s="44"/>
    </row>
    <row r="637" spans="1:7" x14ac:dyDescent="0.2">
      <c r="A637" s="43"/>
      <c r="B637" s="43"/>
      <c r="C637" s="43"/>
      <c r="D637" s="43"/>
      <c r="E637" s="43"/>
      <c r="F637" s="43"/>
      <c r="G637" s="43"/>
    </row>
    <row r="638" spans="1:7" x14ac:dyDescent="0.2">
      <c r="A638" s="44"/>
      <c r="B638" s="44"/>
      <c r="C638" s="44"/>
      <c r="D638" s="44"/>
      <c r="E638" s="44"/>
      <c r="F638" s="44"/>
      <c r="G638" s="44"/>
    </row>
    <row r="639" spans="1:7" x14ac:dyDescent="0.2">
      <c r="A639" s="43"/>
      <c r="B639" s="43"/>
      <c r="C639" s="43"/>
      <c r="D639" s="43"/>
      <c r="E639" s="43"/>
      <c r="F639" s="43"/>
      <c r="G639" s="43"/>
    </row>
    <row r="640" spans="1:7" x14ac:dyDescent="0.2">
      <c r="A640" s="44"/>
      <c r="B640" s="44"/>
      <c r="C640" s="44"/>
      <c r="D640" s="44"/>
      <c r="E640" s="44"/>
      <c r="F640" s="44"/>
      <c r="G640" s="44"/>
    </row>
    <row r="641" spans="1:7" x14ac:dyDescent="0.2">
      <c r="A641" s="43"/>
      <c r="B641" s="43"/>
      <c r="C641" s="43"/>
      <c r="D641" s="43"/>
      <c r="E641" s="43"/>
      <c r="F641" s="43"/>
      <c r="G641" s="43"/>
    </row>
    <row r="642" spans="1:7" x14ac:dyDescent="0.2">
      <c r="A642" s="44"/>
      <c r="B642" s="44"/>
      <c r="C642" s="44"/>
      <c r="D642" s="44"/>
      <c r="E642" s="44"/>
      <c r="F642" s="44"/>
      <c r="G642" s="44"/>
    </row>
    <row r="643" spans="1:7" x14ac:dyDescent="0.2">
      <c r="A643" s="43"/>
      <c r="B643" s="43"/>
      <c r="C643" s="43"/>
      <c r="D643" s="43"/>
      <c r="E643" s="43"/>
      <c r="F643" s="43"/>
      <c r="G643" s="43"/>
    </row>
    <row r="644" spans="1:7" x14ac:dyDescent="0.2">
      <c r="A644" s="44"/>
      <c r="B644" s="44"/>
      <c r="C644" s="44"/>
      <c r="D644" s="44"/>
      <c r="E644" s="44"/>
      <c r="F644" s="44"/>
      <c r="G644" s="44"/>
    </row>
    <row r="645" spans="1:7" x14ac:dyDescent="0.2">
      <c r="A645" s="43"/>
      <c r="B645" s="43"/>
      <c r="C645" s="43"/>
      <c r="D645" s="43"/>
      <c r="E645" s="43"/>
      <c r="F645" s="43"/>
      <c r="G645" s="43"/>
    </row>
    <row r="646" spans="1:7" x14ac:dyDescent="0.2">
      <c r="A646" s="44"/>
      <c r="B646" s="44"/>
      <c r="C646" s="44"/>
      <c r="D646" s="44"/>
      <c r="E646" s="44"/>
      <c r="F646" s="44"/>
      <c r="G646" s="44"/>
    </row>
    <row r="647" spans="1:7" x14ac:dyDescent="0.2">
      <c r="A647" s="43"/>
      <c r="B647" s="43"/>
      <c r="C647" s="43"/>
      <c r="D647" s="43"/>
      <c r="E647" s="43"/>
      <c r="F647" s="43"/>
      <c r="G647" s="43"/>
    </row>
    <row r="648" spans="1:7" x14ac:dyDescent="0.2">
      <c r="A648" s="44"/>
      <c r="B648" s="44"/>
      <c r="C648" s="44"/>
      <c r="D648" s="44"/>
      <c r="E648" s="44"/>
      <c r="F648" s="44"/>
      <c r="G648" s="44"/>
    </row>
    <row r="649" spans="1:7" x14ac:dyDescent="0.2">
      <c r="A649" s="43"/>
      <c r="B649" s="43"/>
      <c r="C649" s="43"/>
      <c r="D649" s="43"/>
      <c r="E649" s="43"/>
      <c r="F649" s="43"/>
      <c r="G649" s="43"/>
    </row>
    <row r="650" spans="1:7" x14ac:dyDescent="0.2">
      <c r="A650" s="44"/>
      <c r="B650" s="44"/>
      <c r="C650" s="44"/>
      <c r="D650" s="44"/>
      <c r="E650" s="44"/>
      <c r="F650" s="44"/>
      <c r="G650" s="44"/>
    </row>
    <row r="651" spans="1:7" x14ac:dyDescent="0.2">
      <c r="A651" s="43"/>
      <c r="B651" s="43"/>
      <c r="C651" s="43"/>
      <c r="D651" s="43"/>
      <c r="E651" s="43"/>
      <c r="F651" s="43"/>
      <c r="G651" s="43"/>
    </row>
    <row r="652" spans="1:7" x14ac:dyDescent="0.2">
      <c r="A652" s="44"/>
      <c r="B652" s="44"/>
      <c r="C652" s="44"/>
      <c r="D652" s="44"/>
      <c r="E652" s="44"/>
      <c r="F652" s="44"/>
      <c r="G652" s="44"/>
    </row>
    <row r="653" spans="1:7" x14ac:dyDescent="0.2">
      <c r="A653" s="43"/>
      <c r="B653" s="43"/>
      <c r="C653" s="43"/>
      <c r="D653" s="43"/>
      <c r="E653" s="43"/>
      <c r="F653" s="43"/>
      <c r="G653" s="43"/>
    </row>
    <row r="654" spans="1:7" x14ac:dyDescent="0.2">
      <c r="A654" s="44"/>
      <c r="B654" s="44"/>
      <c r="C654" s="44"/>
      <c r="D654" s="44"/>
      <c r="E654" s="44"/>
      <c r="F654" s="44"/>
      <c r="G654" s="44"/>
    </row>
    <row r="655" spans="1:7" x14ac:dyDescent="0.2">
      <c r="A655" s="43"/>
      <c r="B655" s="43"/>
      <c r="C655" s="43"/>
      <c r="D655" s="43"/>
      <c r="E655" s="43"/>
      <c r="F655" s="43"/>
      <c r="G655" s="43"/>
    </row>
    <row r="656" spans="1:7" x14ac:dyDescent="0.2">
      <c r="A656" s="44"/>
      <c r="B656" s="44"/>
      <c r="C656" s="44"/>
      <c r="D656" s="44"/>
      <c r="E656" s="44"/>
      <c r="F656" s="44"/>
      <c r="G656" s="44"/>
    </row>
    <row r="657" spans="1:7" x14ac:dyDescent="0.2">
      <c r="A657" s="43"/>
      <c r="B657" s="43"/>
      <c r="C657" s="43"/>
      <c r="D657" s="43"/>
      <c r="E657" s="43"/>
      <c r="F657" s="43"/>
      <c r="G657" s="43"/>
    </row>
    <row r="658" spans="1:7" x14ac:dyDescent="0.2">
      <c r="A658" s="44"/>
      <c r="B658" s="44"/>
      <c r="C658" s="44"/>
      <c r="D658" s="44"/>
      <c r="E658" s="44"/>
      <c r="F658" s="44"/>
      <c r="G658" s="44"/>
    </row>
    <row r="659" spans="1:7" x14ac:dyDescent="0.2">
      <c r="A659" s="43"/>
      <c r="B659" s="43"/>
      <c r="C659" s="43"/>
      <c r="D659" s="43"/>
      <c r="E659" s="43"/>
      <c r="F659" s="43"/>
      <c r="G659" s="43"/>
    </row>
    <row r="660" spans="1:7" x14ac:dyDescent="0.2">
      <c r="A660" s="44"/>
      <c r="B660" s="44"/>
      <c r="C660" s="44"/>
      <c r="D660" s="44"/>
      <c r="E660" s="44"/>
      <c r="F660" s="44"/>
      <c r="G660" s="44"/>
    </row>
    <row r="661" spans="1:7" x14ac:dyDescent="0.2">
      <c r="A661" s="43"/>
      <c r="B661" s="43"/>
      <c r="C661" s="43"/>
      <c r="D661" s="43"/>
      <c r="E661" s="43"/>
      <c r="F661" s="43"/>
      <c r="G661" s="43"/>
    </row>
    <row r="662" spans="1:7" x14ac:dyDescent="0.2">
      <c r="A662" s="44"/>
      <c r="B662" s="44"/>
      <c r="C662" s="44"/>
      <c r="D662" s="44"/>
      <c r="E662" s="44"/>
      <c r="F662" s="44"/>
      <c r="G662" s="44"/>
    </row>
    <row r="663" spans="1:7" x14ac:dyDescent="0.2">
      <c r="A663" s="43"/>
      <c r="B663" s="43"/>
      <c r="C663" s="43"/>
      <c r="D663" s="43"/>
      <c r="E663" s="43"/>
      <c r="F663" s="43"/>
      <c r="G663" s="43"/>
    </row>
    <row r="664" spans="1:7" x14ac:dyDescent="0.2">
      <c r="A664" s="44"/>
      <c r="B664" s="44"/>
      <c r="C664" s="44"/>
      <c r="D664" s="44"/>
      <c r="E664" s="44"/>
      <c r="F664" s="44"/>
      <c r="G664" s="44"/>
    </row>
    <row r="665" spans="1:7" x14ac:dyDescent="0.2">
      <c r="A665" s="43"/>
      <c r="B665" s="43"/>
      <c r="C665" s="43"/>
      <c r="D665" s="43"/>
      <c r="E665" s="43"/>
      <c r="F665" s="43"/>
      <c r="G665" s="43"/>
    </row>
    <row r="666" spans="1:7" x14ac:dyDescent="0.2">
      <c r="A666" s="44"/>
      <c r="B666" s="44"/>
      <c r="C666" s="44"/>
      <c r="D666" s="44"/>
      <c r="E666" s="44"/>
      <c r="F666" s="44"/>
      <c r="G666" s="44"/>
    </row>
    <row r="667" spans="1:7" x14ac:dyDescent="0.2">
      <c r="A667" s="43"/>
      <c r="B667" s="43"/>
      <c r="C667" s="43"/>
      <c r="D667" s="43"/>
      <c r="E667" s="43"/>
      <c r="F667" s="43"/>
      <c r="G667" s="43"/>
    </row>
    <row r="668" spans="1:7" x14ac:dyDescent="0.2">
      <c r="A668" s="44"/>
      <c r="B668" s="44"/>
      <c r="C668" s="44"/>
      <c r="D668" s="44"/>
      <c r="E668" s="44"/>
      <c r="F668" s="44"/>
      <c r="G668" s="44"/>
    </row>
    <row r="669" spans="1:7" x14ac:dyDescent="0.2">
      <c r="A669" s="43"/>
      <c r="B669" s="43"/>
      <c r="C669" s="43"/>
      <c r="D669" s="43"/>
      <c r="E669" s="43"/>
      <c r="F669" s="43"/>
      <c r="G669" s="43"/>
    </row>
    <row r="670" spans="1:7" x14ac:dyDescent="0.2">
      <c r="A670" s="44"/>
      <c r="B670" s="44"/>
      <c r="C670" s="44"/>
      <c r="D670" s="44"/>
      <c r="E670" s="44"/>
      <c r="F670" s="44"/>
      <c r="G670" s="44"/>
    </row>
    <row r="671" spans="1:7" x14ac:dyDescent="0.2">
      <c r="A671" s="43"/>
      <c r="B671" s="43"/>
      <c r="C671" s="43"/>
      <c r="D671" s="43"/>
      <c r="E671" s="43"/>
      <c r="F671" s="43"/>
      <c r="G671" s="43"/>
    </row>
    <row r="672" spans="1:7" x14ac:dyDescent="0.2">
      <c r="A672" s="44"/>
      <c r="B672" s="44"/>
      <c r="C672" s="44"/>
      <c r="D672" s="44"/>
      <c r="E672" s="44"/>
      <c r="F672" s="44"/>
      <c r="G672" s="44"/>
    </row>
    <row r="673" spans="1:7" x14ac:dyDescent="0.2">
      <c r="A673" s="43"/>
      <c r="B673" s="43"/>
      <c r="C673" s="43"/>
      <c r="D673" s="43"/>
      <c r="E673" s="43"/>
      <c r="F673" s="43"/>
      <c r="G673" s="43"/>
    </row>
    <row r="674" spans="1:7" x14ac:dyDescent="0.2">
      <c r="A674" s="44"/>
      <c r="B674" s="44"/>
      <c r="C674" s="44"/>
      <c r="D674" s="44"/>
      <c r="E674" s="44"/>
      <c r="F674" s="44"/>
      <c r="G674" s="44"/>
    </row>
    <row r="675" spans="1:7" x14ac:dyDescent="0.2">
      <c r="A675" s="43"/>
      <c r="B675" s="43"/>
      <c r="C675" s="43"/>
      <c r="D675" s="43"/>
      <c r="E675" s="43"/>
      <c r="F675" s="43"/>
      <c r="G675" s="43"/>
    </row>
    <row r="676" spans="1:7" x14ac:dyDescent="0.2">
      <c r="A676" s="44"/>
      <c r="B676" s="44"/>
      <c r="C676" s="44"/>
      <c r="D676" s="44"/>
      <c r="E676" s="44"/>
      <c r="F676" s="44"/>
      <c r="G676" s="44"/>
    </row>
    <row r="677" spans="1:7" x14ac:dyDescent="0.2">
      <c r="A677" s="43"/>
      <c r="B677" s="43"/>
      <c r="C677" s="43"/>
      <c r="D677" s="43"/>
      <c r="E677" s="43"/>
      <c r="F677" s="43"/>
      <c r="G677" s="43"/>
    </row>
    <row r="678" spans="1:7" x14ac:dyDescent="0.2">
      <c r="A678" s="44"/>
      <c r="B678" s="44"/>
      <c r="C678" s="44"/>
      <c r="D678" s="44"/>
      <c r="E678" s="44"/>
      <c r="F678" s="44"/>
      <c r="G678" s="44"/>
    </row>
    <row r="679" spans="1:7" x14ac:dyDescent="0.2">
      <c r="A679" s="43"/>
      <c r="B679" s="43"/>
      <c r="C679" s="43"/>
      <c r="D679" s="43"/>
      <c r="E679" s="43"/>
      <c r="F679" s="43"/>
      <c r="G679" s="43"/>
    </row>
    <row r="680" spans="1:7" x14ac:dyDescent="0.2">
      <c r="A680" s="44"/>
      <c r="B680" s="44"/>
      <c r="C680" s="44"/>
      <c r="D680" s="44"/>
      <c r="E680" s="44"/>
      <c r="F680" s="44"/>
      <c r="G680" s="44"/>
    </row>
    <row r="681" spans="1:7" x14ac:dyDescent="0.2">
      <c r="A681" s="43"/>
      <c r="B681" s="43"/>
      <c r="C681" s="43"/>
      <c r="D681" s="43"/>
      <c r="E681" s="43"/>
      <c r="F681" s="43"/>
      <c r="G681" s="43"/>
    </row>
    <row r="682" spans="1:7" x14ac:dyDescent="0.2">
      <c r="A682" s="44"/>
      <c r="B682" s="44"/>
      <c r="C682" s="44"/>
      <c r="D682" s="44"/>
      <c r="E682" s="44"/>
      <c r="F682" s="44"/>
      <c r="G682" s="44"/>
    </row>
    <row r="683" spans="1:7" x14ac:dyDescent="0.2">
      <c r="A683" s="43"/>
      <c r="B683" s="43"/>
      <c r="C683" s="43"/>
      <c r="D683" s="43"/>
      <c r="E683" s="43"/>
      <c r="F683" s="43"/>
      <c r="G683" s="43"/>
    </row>
    <row r="684" spans="1:7" x14ac:dyDescent="0.2">
      <c r="A684" s="44"/>
      <c r="B684" s="44"/>
      <c r="C684" s="44"/>
      <c r="D684" s="44"/>
      <c r="E684" s="44"/>
      <c r="F684" s="44"/>
      <c r="G684" s="44"/>
    </row>
    <row r="685" spans="1:7" x14ac:dyDescent="0.2">
      <c r="A685" s="43"/>
      <c r="B685" s="43"/>
      <c r="C685" s="43"/>
      <c r="D685" s="43"/>
      <c r="E685" s="43"/>
      <c r="F685" s="43"/>
      <c r="G685" s="43"/>
    </row>
    <row r="686" spans="1:7" x14ac:dyDescent="0.2">
      <c r="A686" s="44"/>
      <c r="B686" s="44"/>
      <c r="C686" s="44"/>
      <c r="D686" s="44"/>
      <c r="E686" s="44"/>
      <c r="F686" s="44"/>
      <c r="G686" s="44"/>
    </row>
    <row r="687" spans="1:7" x14ac:dyDescent="0.2">
      <c r="A687" s="43"/>
      <c r="B687" s="43"/>
      <c r="C687" s="43"/>
      <c r="D687" s="43"/>
      <c r="E687" s="43"/>
      <c r="F687" s="43"/>
      <c r="G687" s="43"/>
    </row>
    <row r="688" spans="1:7" x14ac:dyDescent="0.2">
      <c r="A688" s="44"/>
      <c r="B688" s="44"/>
      <c r="C688" s="44"/>
      <c r="D688" s="44"/>
      <c r="E688" s="44"/>
      <c r="F688" s="44"/>
      <c r="G688" s="44"/>
    </row>
    <row r="689" spans="1:7" x14ac:dyDescent="0.2">
      <c r="A689" s="43"/>
      <c r="B689" s="43"/>
      <c r="C689" s="43"/>
      <c r="D689" s="43"/>
      <c r="E689" s="43"/>
      <c r="F689" s="43"/>
      <c r="G689" s="43"/>
    </row>
    <row r="690" spans="1:7" x14ac:dyDescent="0.2">
      <c r="A690" s="44"/>
      <c r="B690" s="44"/>
      <c r="C690" s="44"/>
      <c r="D690" s="44"/>
      <c r="E690" s="44"/>
      <c r="F690" s="44"/>
      <c r="G690" s="44"/>
    </row>
    <row r="691" spans="1:7" x14ac:dyDescent="0.2">
      <c r="A691" s="43"/>
      <c r="B691" s="43"/>
      <c r="C691" s="43"/>
      <c r="D691" s="43"/>
      <c r="E691" s="43"/>
      <c r="F691" s="43"/>
      <c r="G691" s="43"/>
    </row>
    <row r="692" spans="1:7" x14ac:dyDescent="0.2">
      <c r="A692" s="44"/>
      <c r="B692" s="44"/>
      <c r="C692" s="44"/>
      <c r="D692" s="44"/>
      <c r="E692" s="44"/>
      <c r="F692" s="44"/>
      <c r="G692" s="44"/>
    </row>
    <row r="693" spans="1:7" x14ac:dyDescent="0.2">
      <c r="A693" s="43"/>
      <c r="B693" s="43"/>
      <c r="C693" s="43"/>
      <c r="D693" s="43"/>
      <c r="E693" s="43"/>
      <c r="F693" s="43"/>
      <c r="G693" s="43"/>
    </row>
    <row r="694" spans="1:7" x14ac:dyDescent="0.2">
      <c r="A694" s="44"/>
      <c r="B694" s="44"/>
      <c r="C694" s="44"/>
      <c r="D694" s="44"/>
      <c r="E694" s="44"/>
      <c r="F694" s="44"/>
      <c r="G694" s="44"/>
    </row>
    <row r="695" spans="1:7" x14ac:dyDescent="0.2">
      <c r="A695" s="43"/>
      <c r="B695" s="43"/>
      <c r="C695" s="43"/>
      <c r="D695" s="43"/>
      <c r="E695" s="43"/>
      <c r="F695" s="43"/>
      <c r="G695" s="43"/>
    </row>
    <row r="696" spans="1:7" x14ac:dyDescent="0.2">
      <c r="A696" s="44"/>
      <c r="B696" s="44"/>
      <c r="C696" s="44"/>
      <c r="D696" s="44"/>
      <c r="E696" s="44"/>
      <c r="F696" s="44"/>
      <c r="G696" s="44"/>
    </row>
    <row r="697" spans="1:7" x14ac:dyDescent="0.2">
      <c r="A697" s="43"/>
      <c r="B697" s="43"/>
      <c r="C697" s="43"/>
      <c r="D697" s="43"/>
      <c r="E697" s="43"/>
      <c r="F697" s="43"/>
      <c r="G697" s="43"/>
    </row>
    <row r="698" spans="1:7" x14ac:dyDescent="0.2">
      <c r="A698" s="44"/>
      <c r="B698" s="44"/>
      <c r="C698" s="44"/>
      <c r="D698" s="44"/>
      <c r="E698" s="44"/>
      <c r="F698" s="44"/>
      <c r="G698" s="44"/>
    </row>
    <row r="699" spans="1:7" x14ac:dyDescent="0.2">
      <c r="A699" s="43"/>
      <c r="B699" s="43"/>
      <c r="C699" s="43"/>
      <c r="D699" s="43"/>
      <c r="E699" s="43"/>
      <c r="F699" s="43"/>
      <c r="G699" s="43"/>
    </row>
    <row r="700" spans="1:7" x14ac:dyDescent="0.2">
      <c r="A700" s="44"/>
      <c r="B700" s="44"/>
      <c r="C700" s="44"/>
      <c r="D700" s="44"/>
      <c r="E700" s="44"/>
      <c r="F700" s="44"/>
      <c r="G700" s="44"/>
    </row>
    <row r="701" spans="1:7" x14ac:dyDescent="0.2">
      <c r="A701" s="43"/>
      <c r="B701" s="43"/>
      <c r="C701" s="43"/>
      <c r="D701" s="43"/>
      <c r="E701" s="43"/>
      <c r="F701" s="43"/>
      <c r="G701" s="43"/>
    </row>
    <row r="702" spans="1:7" x14ac:dyDescent="0.2">
      <c r="A702" s="44"/>
      <c r="B702" s="44"/>
      <c r="C702" s="44"/>
      <c r="D702" s="44"/>
      <c r="E702" s="44"/>
      <c r="F702" s="44"/>
      <c r="G702" s="44"/>
    </row>
    <row r="703" spans="1:7" x14ac:dyDescent="0.2">
      <c r="A703" s="43"/>
      <c r="B703" s="43"/>
      <c r="C703" s="43"/>
      <c r="D703" s="43"/>
      <c r="E703" s="43"/>
      <c r="F703" s="43"/>
      <c r="G703" s="43"/>
    </row>
    <row r="704" spans="1:7" x14ac:dyDescent="0.2">
      <c r="A704" s="44"/>
      <c r="B704" s="44"/>
      <c r="C704" s="44"/>
      <c r="D704" s="44"/>
      <c r="E704" s="44"/>
      <c r="F704" s="44"/>
      <c r="G704" s="44"/>
    </row>
    <row r="705" spans="1:7" x14ac:dyDescent="0.2">
      <c r="A705" s="43"/>
      <c r="B705" s="43"/>
      <c r="C705" s="43"/>
      <c r="D705" s="43"/>
      <c r="E705" s="43"/>
      <c r="F705" s="43"/>
      <c r="G705" s="43"/>
    </row>
    <row r="706" spans="1:7" x14ac:dyDescent="0.2">
      <c r="A706" s="44"/>
      <c r="B706" s="44"/>
      <c r="C706" s="44"/>
      <c r="D706" s="44"/>
      <c r="E706" s="44"/>
      <c r="F706" s="44"/>
      <c r="G706" s="44"/>
    </row>
    <row r="707" spans="1:7" x14ac:dyDescent="0.2">
      <c r="A707" s="43"/>
      <c r="B707" s="43"/>
      <c r="C707" s="43"/>
      <c r="D707" s="43"/>
      <c r="E707" s="43"/>
      <c r="F707" s="43"/>
      <c r="G707" s="43"/>
    </row>
    <row r="708" spans="1:7" x14ac:dyDescent="0.2">
      <c r="A708" s="44"/>
      <c r="B708" s="44"/>
      <c r="C708" s="44"/>
      <c r="D708" s="44"/>
      <c r="E708" s="44"/>
      <c r="F708" s="44"/>
      <c r="G708" s="44"/>
    </row>
    <row r="709" spans="1:7" x14ac:dyDescent="0.2">
      <c r="A709" s="43"/>
      <c r="B709" s="43"/>
      <c r="C709" s="43"/>
      <c r="D709" s="43"/>
      <c r="E709" s="43"/>
      <c r="F709" s="43"/>
      <c r="G709" s="43"/>
    </row>
    <row r="710" spans="1:7" x14ac:dyDescent="0.2">
      <c r="A710" s="44"/>
      <c r="B710" s="44"/>
      <c r="C710" s="44"/>
      <c r="D710" s="44"/>
      <c r="E710" s="44"/>
      <c r="F710" s="44"/>
      <c r="G710" s="44"/>
    </row>
    <row r="711" spans="1:7" x14ac:dyDescent="0.2">
      <c r="A711" s="43"/>
      <c r="B711" s="43"/>
      <c r="C711" s="43"/>
      <c r="D711" s="43"/>
      <c r="E711" s="43"/>
      <c r="F711" s="43"/>
      <c r="G711" s="43"/>
    </row>
    <row r="712" spans="1:7" x14ac:dyDescent="0.2">
      <c r="A712" s="44"/>
      <c r="B712" s="44"/>
      <c r="C712" s="44"/>
      <c r="D712" s="44"/>
      <c r="E712" s="44"/>
      <c r="F712" s="44"/>
      <c r="G712" s="44"/>
    </row>
    <row r="713" spans="1:7" x14ac:dyDescent="0.2">
      <c r="A713" s="43"/>
      <c r="B713" s="43"/>
      <c r="C713" s="43"/>
      <c r="D713" s="43"/>
      <c r="E713" s="43"/>
      <c r="F713" s="43"/>
      <c r="G713" s="43"/>
    </row>
    <row r="714" spans="1:7" x14ac:dyDescent="0.2">
      <c r="A714" s="44"/>
      <c r="B714" s="44"/>
      <c r="C714" s="44"/>
      <c r="D714" s="44"/>
      <c r="E714" s="44"/>
      <c r="F714" s="44"/>
      <c r="G714" s="44"/>
    </row>
    <row r="715" spans="1:7" x14ac:dyDescent="0.2">
      <c r="A715" s="43"/>
      <c r="B715" s="43"/>
      <c r="C715" s="43"/>
      <c r="D715" s="43"/>
      <c r="E715" s="43"/>
      <c r="F715" s="43"/>
      <c r="G715" s="43"/>
    </row>
    <row r="716" spans="1:7" x14ac:dyDescent="0.2">
      <c r="A716" s="44"/>
      <c r="B716" s="44"/>
      <c r="C716" s="44"/>
      <c r="D716" s="44"/>
      <c r="E716" s="44"/>
      <c r="F716" s="44"/>
      <c r="G716" s="44"/>
    </row>
    <row r="717" spans="1:7" x14ac:dyDescent="0.2">
      <c r="A717" s="43"/>
      <c r="B717" s="43"/>
      <c r="C717" s="43"/>
      <c r="D717" s="43"/>
      <c r="E717" s="43"/>
      <c r="F717" s="43"/>
      <c r="G717" s="43"/>
    </row>
    <row r="718" spans="1:7" x14ac:dyDescent="0.2">
      <c r="A718" s="44"/>
      <c r="B718" s="44"/>
      <c r="C718" s="44"/>
      <c r="D718" s="44"/>
      <c r="E718" s="44"/>
      <c r="F718" s="44"/>
      <c r="G718" s="44"/>
    </row>
    <row r="719" spans="1:7" x14ac:dyDescent="0.2">
      <c r="A719" s="43"/>
      <c r="B719" s="43"/>
      <c r="C719" s="43"/>
      <c r="D719" s="43"/>
      <c r="E719" s="43"/>
      <c r="F719" s="43"/>
      <c r="G719" s="43"/>
    </row>
    <row r="720" spans="1:7" x14ac:dyDescent="0.2">
      <c r="A720" s="44"/>
      <c r="B720" s="44"/>
      <c r="C720" s="44"/>
      <c r="D720" s="44"/>
      <c r="E720" s="44"/>
      <c r="F720" s="44"/>
      <c r="G720" s="44"/>
    </row>
    <row r="721" spans="1:7" x14ac:dyDescent="0.2">
      <c r="A721" s="43"/>
      <c r="B721" s="43"/>
      <c r="C721" s="43"/>
      <c r="D721" s="43"/>
      <c r="E721" s="43"/>
      <c r="F721" s="43"/>
      <c r="G721" s="43"/>
    </row>
    <row r="722" spans="1:7" x14ac:dyDescent="0.2">
      <c r="A722" s="44"/>
      <c r="B722" s="44"/>
      <c r="C722" s="44"/>
      <c r="D722" s="44"/>
      <c r="E722" s="44"/>
      <c r="F722" s="44"/>
      <c r="G722" s="44"/>
    </row>
    <row r="723" spans="1:7" x14ac:dyDescent="0.2">
      <c r="A723" s="43"/>
      <c r="B723" s="43"/>
      <c r="C723" s="43"/>
      <c r="D723" s="43"/>
      <c r="E723" s="43"/>
      <c r="F723" s="43"/>
      <c r="G723" s="43"/>
    </row>
    <row r="724" spans="1:7" x14ac:dyDescent="0.2">
      <c r="A724" s="44"/>
      <c r="B724" s="44"/>
      <c r="C724" s="44"/>
      <c r="D724" s="44"/>
      <c r="E724" s="44"/>
      <c r="F724" s="44"/>
      <c r="G724" s="44"/>
    </row>
    <row r="725" spans="1:7" x14ac:dyDescent="0.2">
      <c r="A725" s="43"/>
      <c r="B725" s="43"/>
      <c r="C725" s="43"/>
      <c r="D725" s="43"/>
      <c r="E725" s="43"/>
      <c r="F725" s="43"/>
      <c r="G725" s="43"/>
    </row>
    <row r="726" spans="1:7" x14ac:dyDescent="0.2">
      <c r="A726" s="44"/>
      <c r="B726" s="44"/>
      <c r="C726" s="44"/>
      <c r="D726" s="44"/>
      <c r="E726" s="44"/>
      <c r="F726" s="44"/>
      <c r="G726" s="44"/>
    </row>
    <row r="727" spans="1:7" x14ac:dyDescent="0.2">
      <c r="A727" s="43"/>
      <c r="B727" s="43"/>
      <c r="C727" s="43"/>
      <c r="D727" s="43"/>
      <c r="E727" s="43"/>
      <c r="F727" s="43"/>
      <c r="G727" s="43"/>
    </row>
    <row r="728" spans="1:7" x14ac:dyDescent="0.2">
      <c r="A728" s="44"/>
      <c r="B728" s="44"/>
      <c r="C728" s="44"/>
      <c r="D728" s="44"/>
      <c r="E728" s="44"/>
      <c r="F728" s="44"/>
      <c r="G728" s="44"/>
    </row>
    <row r="729" spans="1:7" x14ac:dyDescent="0.2">
      <c r="A729" s="43"/>
      <c r="B729" s="43"/>
      <c r="C729" s="43"/>
      <c r="D729" s="43"/>
      <c r="E729" s="43"/>
      <c r="F729" s="43"/>
      <c r="G729" s="43"/>
    </row>
    <row r="730" spans="1:7" x14ac:dyDescent="0.2">
      <c r="A730" s="44"/>
      <c r="B730" s="44"/>
      <c r="C730" s="44"/>
      <c r="D730" s="44"/>
      <c r="E730" s="44"/>
      <c r="F730" s="44"/>
      <c r="G730" s="44"/>
    </row>
    <row r="731" spans="1:7" x14ac:dyDescent="0.2">
      <c r="A731" s="43"/>
      <c r="B731" s="43"/>
      <c r="C731" s="43"/>
      <c r="D731" s="43"/>
      <c r="E731" s="43"/>
      <c r="F731" s="43"/>
      <c r="G731" s="43"/>
    </row>
    <row r="732" spans="1:7" x14ac:dyDescent="0.2">
      <c r="A732" s="44"/>
      <c r="B732" s="44"/>
      <c r="C732" s="44"/>
      <c r="D732" s="44"/>
      <c r="E732" s="44"/>
      <c r="F732" s="44"/>
      <c r="G732" s="44"/>
    </row>
    <row r="733" spans="1:7" x14ac:dyDescent="0.2">
      <c r="A733" s="43"/>
      <c r="B733" s="43"/>
      <c r="C733" s="43"/>
      <c r="D733" s="43"/>
      <c r="E733" s="43"/>
      <c r="F733" s="43"/>
      <c r="G733" s="43"/>
    </row>
    <row r="734" spans="1:7" x14ac:dyDescent="0.2">
      <c r="A734" s="44"/>
      <c r="B734" s="44"/>
      <c r="C734" s="44"/>
      <c r="D734" s="44"/>
      <c r="E734" s="44"/>
      <c r="F734" s="44"/>
      <c r="G734" s="44"/>
    </row>
    <row r="735" spans="1:7" x14ac:dyDescent="0.2">
      <c r="A735" s="43"/>
      <c r="B735" s="43"/>
      <c r="C735" s="43"/>
      <c r="D735" s="43"/>
      <c r="E735" s="43"/>
      <c r="F735" s="43"/>
      <c r="G735" s="43"/>
    </row>
    <row r="736" spans="1:7" x14ac:dyDescent="0.2">
      <c r="A736" s="44"/>
      <c r="B736" s="44"/>
      <c r="C736" s="44"/>
      <c r="D736" s="44"/>
      <c r="E736" s="44"/>
      <c r="F736" s="44"/>
      <c r="G736" s="44"/>
    </row>
    <row r="737" spans="1:7" x14ac:dyDescent="0.2">
      <c r="A737" s="43"/>
      <c r="B737" s="43"/>
      <c r="C737" s="43"/>
      <c r="D737" s="43"/>
      <c r="E737" s="43"/>
      <c r="F737" s="43"/>
      <c r="G737" s="43"/>
    </row>
    <row r="738" spans="1:7" x14ac:dyDescent="0.2">
      <c r="A738" s="44"/>
      <c r="B738" s="44"/>
      <c r="C738" s="44"/>
      <c r="D738" s="44"/>
      <c r="E738" s="44"/>
      <c r="F738" s="44"/>
      <c r="G738" s="44"/>
    </row>
    <row r="739" spans="1:7" x14ac:dyDescent="0.2">
      <c r="A739" s="43"/>
      <c r="B739" s="43"/>
      <c r="C739" s="43"/>
      <c r="D739" s="43"/>
      <c r="E739" s="43"/>
      <c r="F739" s="43"/>
      <c r="G739" s="43"/>
    </row>
    <row r="740" spans="1:7" x14ac:dyDescent="0.2">
      <c r="A740" s="44"/>
      <c r="B740" s="44"/>
      <c r="C740" s="44"/>
      <c r="D740" s="44"/>
      <c r="E740" s="44"/>
      <c r="F740" s="44"/>
      <c r="G740" s="44"/>
    </row>
    <row r="741" spans="1:7" x14ac:dyDescent="0.2">
      <c r="A741" s="43"/>
      <c r="B741" s="43"/>
      <c r="C741" s="43"/>
      <c r="D741" s="43"/>
      <c r="E741" s="43"/>
      <c r="F741" s="43"/>
      <c r="G741" s="43"/>
    </row>
    <row r="742" spans="1:7" x14ac:dyDescent="0.2">
      <c r="A742" s="44"/>
      <c r="B742" s="44"/>
      <c r="C742" s="44"/>
      <c r="D742" s="44"/>
      <c r="E742" s="44"/>
      <c r="F742" s="44"/>
      <c r="G742" s="44"/>
    </row>
    <row r="743" spans="1:7" x14ac:dyDescent="0.2">
      <c r="A743" s="43"/>
      <c r="B743" s="43"/>
      <c r="C743" s="43"/>
      <c r="D743" s="43"/>
      <c r="E743" s="43"/>
      <c r="F743" s="43"/>
      <c r="G743" s="43"/>
    </row>
    <row r="744" spans="1:7" x14ac:dyDescent="0.2">
      <c r="A744" s="44"/>
      <c r="B744" s="44"/>
      <c r="C744" s="44"/>
      <c r="D744" s="44"/>
      <c r="E744" s="44"/>
      <c r="F744" s="44"/>
      <c r="G744" s="44"/>
    </row>
    <row r="745" spans="1:7" x14ac:dyDescent="0.2">
      <c r="A745" s="43"/>
      <c r="B745" s="43"/>
      <c r="C745" s="43"/>
      <c r="D745" s="43"/>
      <c r="E745" s="43"/>
      <c r="F745" s="43"/>
      <c r="G745" s="43"/>
    </row>
    <row r="746" spans="1:7" x14ac:dyDescent="0.2">
      <c r="A746" s="44"/>
      <c r="B746" s="44"/>
      <c r="C746" s="44"/>
      <c r="D746" s="44"/>
      <c r="E746" s="44"/>
      <c r="F746" s="44"/>
      <c r="G746" s="44"/>
    </row>
    <row r="747" spans="1:7" x14ac:dyDescent="0.2">
      <c r="A747" s="43"/>
      <c r="B747" s="43"/>
      <c r="C747" s="43"/>
      <c r="D747" s="43"/>
      <c r="E747" s="43"/>
      <c r="F747" s="43"/>
      <c r="G747" s="43"/>
    </row>
    <row r="748" spans="1:7" x14ac:dyDescent="0.2">
      <c r="A748" s="44"/>
      <c r="B748" s="44"/>
      <c r="C748" s="44"/>
      <c r="D748" s="44"/>
      <c r="E748" s="44"/>
      <c r="F748" s="44"/>
      <c r="G748" s="44"/>
    </row>
    <row r="749" spans="1:7" x14ac:dyDescent="0.2">
      <c r="A749" s="43"/>
      <c r="B749" s="43"/>
      <c r="C749" s="43"/>
      <c r="D749" s="43"/>
      <c r="E749" s="43"/>
      <c r="F749" s="43"/>
      <c r="G749" s="43"/>
    </row>
    <row r="750" spans="1:7" x14ac:dyDescent="0.2">
      <c r="A750" s="44"/>
      <c r="B750" s="44"/>
      <c r="C750" s="44"/>
      <c r="D750" s="44"/>
      <c r="E750" s="44"/>
      <c r="F750" s="44"/>
      <c r="G750" s="44"/>
    </row>
    <row r="751" spans="1:7" x14ac:dyDescent="0.2">
      <c r="A751" s="43"/>
      <c r="B751" s="43"/>
      <c r="C751" s="43"/>
      <c r="D751" s="43"/>
      <c r="E751" s="43"/>
      <c r="F751" s="43"/>
      <c r="G751" s="43"/>
    </row>
    <row r="752" spans="1:7" x14ac:dyDescent="0.2">
      <c r="A752" s="44"/>
      <c r="B752" s="44"/>
      <c r="C752" s="44"/>
      <c r="D752" s="44"/>
      <c r="E752" s="44"/>
      <c r="F752" s="44"/>
      <c r="G752" s="44"/>
    </row>
    <row r="753" spans="1:7" x14ac:dyDescent="0.2">
      <c r="A753" s="43"/>
      <c r="B753" s="43"/>
      <c r="C753" s="43"/>
      <c r="D753" s="43"/>
      <c r="E753" s="43"/>
      <c r="F753" s="43"/>
      <c r="G753" s="43"/>
    </row>
    <row r="754" spans="1:7" x14ac:dyDescent="0.2">
      <c r="A754" s="44"/>
      <c r="B754" s="44"/>
      <c r="C754" s="44"/>
      <c r="D754" s="44"/>
      <c r="E754" s="44"/>
      <c r="F754" s="44"/>
      <c r="G754" s="44"/>
    </row>
    <row r="755" spans="1:7" x14ac:dyDescent="0.2">
      <c r="A755" s="43"/>
      <c r="B755" s="43"/>
      <c r="C755" s="43"/>
      <c r="D755" s="43"/>
      <c r="E755" s="43"/>
      <c r="F755" s="43"/>
      <c r="G755" s="43"/>
    </row>
    <row r="756" spans="1:7" x14ac:dyDescent="0.2">
      <c r="A756" s="44"/>
      <c r="B756" s="44"/>
      <c r="C756" s="44"/>
      <c r="D756" s="44"/>
      <c r="E756" s="44"/>
      <c r="F756" s="44"/>
      <c r="G756" s="44"/>
    </row>
    <row r="757" spans="1:7" x14ac:dyDescent="0.2">
      <c r="A757" s="43"/>
      <c r="B757" s="43"/>
      <c r="C757" s="43"/>
      <c r="D757" s="43"/>
      <c r="E757" s="43"/>
      <c r="F757" s="43"/>
      <c r="G757" s="43"/>
    </row>
    <row r="758" spans="1:7" x14ac:dyDescent="0.2">
      <c r="A758" s="44"/>
      <c r="B758" s="44"/>
      <c r="C758" s="44"/>
      <c r="D758" s="44"/>
      <c r="E758" s="44"/>
      <c r="F758" s="44"/>
      <c r="G758" s="44"/>
    </row>
    <row r="759" spans="1:7" x14ac:dyDescent="0.2">
      <c r="A759" s="43"/>
      <c r="B759" s="43"/>
      <c r="C759" s="43"/>
      <c r="D759" s="43"/>
      <c r="E759" s="43"/>
      <c r="F759" s="43"/>
      <c r="G759" s="43"/>
    </row>
    <row r="760" spans="1:7" x14ac:dyDescent="0.2">
      <c r="A760" s="44"/>
      <c r="B760" s="44"/>
      <c r="C760" s="44"/>
      <c r="D760" s="44"/>
      <c r="E760" s="44"/>
      <c r="F760" s="44"/>
      <c r="G760" s="44"/>
    </row>
    <row r="761" spans="1:7" x14ac:dyDescent="0.2">
      <c r="A761" s="43"/>
      <c r="B761" s="43"/>
      <c r="C761" s="43"/>
      <c r="D761" s="43"/>
      <c r="E761" s="43"/>
      <c r="F761" s="43"/>
      <c r="G761" s="43"/>
    </row>
    <row r="762" spans="1:7" x14ac:dyDescent="0.2">
      <c r="A762" s="44"/>
      <c r="B762" s="44"/>
      <c r="C762" s="44"/>
      <c r="D762" s="44"/>
      <c r="E762" s="44"/>
      <c r="F762" s="44"/>
      <c r="G762" s="44"/>
    </row>
    <row r="763" spans="1:7" x14ac:dyDescent="0.2">
      <c r="A763" s="43"/>
      <c r="B763" s="43"/>
      <c r="C763" s="43"/>
      <c r="D763" s="43"/>
      <c r="E763" s="43"/>
      <c r="F763" s="43"/>
      <c r="G763" s="43"/>
    </row>
    <row r="764" spans="1:7" x14ac:dyDescent="0.2">
      <c r="A764" s="44"/>
      <c r="B764" s="44"/>
      <c r="C764" s="44"/>
      <c r="D764" s="44"/>
      <c r="E764" s="44"/>
      <c r="F764" s="44"/>
      <c r="G764" s="44"/>
    </row>
    <row r="765" spans="1:7" x14ac:dyDescent="0.2">
      <c r="A765" s="43"/>
      <c r="B765" s="43"/>
      <c r="C765" s="43"/>
      <c r="D765" s="43"/>
      <c r="E765" s="43"/>
      <c r="F765" s="43"/>
      <c r="G765" s="43"/>
    </row>
    <row r="766" spans="1:7" x14ac:dyDescent="0.2">
      <c r="A766" s="44"/>
      <c r="B766" s="44"/>
      <c r="C766" s="44"/>
      <c r="D766" s="44"/>
      <c r="E766" s="44"/>
      <c r="F766" s="44"/>
      <c r="G766" s="44"/>
    </row>
    <row r="767" spans="1:7" x14ac:dyDescent="0.2">
      <c r="A767" s="43"/>
      <c r="B767" s="43"/>
      <c r="C767" s="43"/>
      <c r="D767" s="43"/>
      <c r="E767" s="43"/>
      <c r="F767" s="43"/>
      <c r="G767" s="43"/>
    </row>
    <row r="768" spans="1:7" x14ac:dyDescent="0.2">
      <c r="A768" s="44"/>
      <c r="B768" s="44"/>
      <c r="C768" s="44"/>
      <c r="D768" s="44"/>
      <c r="E768" s="44"/>
      <c r="F768" s="44"/>
      <c r="G768" s="44"/>
    </row>
    <row r="769" spans="1:7" x14ac:dyDescent="0.2">
      <c r="A769" s="43"/>
      <c r="B769" s="43"/>
      <c r="C769" s="43"/>
      <c r="D769" s="43"/>
      <c r="E769" s="43"/>
      <c r="F769" s="43"/>
      <c r="G769" s="43"/>
    </row>
    <row r="770" spans="1:7" x14ac:dyDescent="0.2">
      <c r="A770" s="44"/>
      <c r="B770" s="44"/>
      <c r="C770" s="44"/>
      <c r="D770" s="44"/>
      <c r="E770" s="44"/>
      <c r="F770" s="44"/>
      <c r="G770" s="44"/>
    </row>
    <row r="771" spans="1:7" x14ac:dyDescent="0.2">
      <c r="A771" s="43"/>
      <c r="B771" s="43"/>
      <c r="C771" s="43"/>
      <c r="D771" s="43"/>
      <c r="E771" s="43"/>
      <c r="F771" s="43"/>
      <c r="G771" s="43"/>
    </row>
    <row r="772" spans="1:7" x14ac:dyDescent="0.2">
      <c r="A772" s="44"/>
      <c r="B772" s="44"/>
      <c r="C772" s="44"/>
      <c r="D772" s="44"/>
      <c r="E772" s="44"/>
      <c r="F772" s="44"/>
      <c r="G772" s="44"/>
    </row>
    <row r="773" spans="1:7" x14ac:dyDescent="0.2">
      <c r="A773" s="43"/>
      <c r="B773" s="43"/>
      <c r="C773" s="43"/>
      <c r="D773" s="43"/>
      <c r="E773" s="43"/>
      <c r="F773" s="43"/>
      <c r="G773" s="43"/>
    </row>
    <row r="774" spans="1:7" x14ac:dyDescent="0.2">
      <c r="A774" s="44"/>
      <c r="B774" s="44"/>
      <c r="C774" s="44"/>
      <c r="D774" s="44"/>
      <c r="E774" s="44"/>
      <c r="F774" s="44"/>
      <c r="G774" s="44"/>
    </row>
    <row r="775" spans="1:7" x14ac:dyDescent="0.2">
      <c r="A775" s="43"/>
      <c r="B775" s="43"/>
      <c r="C775" s="43"/>
      <c r="D775" s="43"/>
      <c r="E775" s="43"/>
      <c r="F775" s="43"/>
      <c r="G775" s="43"/>
    </row>
    <row r="776" spans="1:7" x14ac:dyDescent="0.2">
      <c r="A776" s="44"/>
      <c r="B776" s="44"/>
      <c r="C776" s="44"/>
      <c r="D776" s="44"/>
      <c r="E776" s="44"/>
      <c r="F776" s="44"/>
      <c r="G776" s="44"/>
    </row>
    <row r="777" spans="1:7" x14ac:dyDescent="0.2">
      <c r="A777" s="43"/>
      <c r="B777" s="43"/>
      <c r="C777" s="43"/>
      <c r="D777" s="43"/>
      <c r="E777" s="43"/>
      <c r="F777" s="43"/>
      <c r="G777" s="43"/>
    </row>
    <row r="778" spans="1:7" x14ac:dyDescent="0.2">
      <c r="A778" s="44"/>
      <c r="B778" s="44"/>
      <c r="C778" s="44"/>
      <c r="D778" s="44"/>
      <c r="E778" s="44"/>
      <c r="F778" s="44"/>
      <c r="G778" s="44"/>
    </row>
    <row r="779" spans="1:7" x14ac:dyDescent="0.2">
      <c r="A779" s="43"/>
      <c r="B779" s="43"/>
      <c r="C779" s="43"/>
      <c r="D779" s="43"/>
      <c r="E779" s="43"/>
      <c r="F779" s="43"/>
      <c r="G779" s="43"/>
    </row>
    <row r="780" spans="1:7" x14ac:dyDescent="0.2">
      <c r="A780" s="44"/>
      <c r="B780" s="44"/>
      <c r="C780" s="44"/>
      <c r="D780" s="44"/>
      <c r="E780" s="44"/>
      <c r="F780" s="44"/>
      <c r="G780" s="44"/>
    </row>
    <row r="781" spans="1:7" x14ac:dyDescent="0.2">
      <c r="A781" s="43"/>
      <c r="B781" s="43"/>
      <c r="C781" s="43"/>
      <c r="D781" s="43"/>
      <c r="E781" s="43"/>
      <c r="F781" s="43"/>
      <c r="G781" s="43"/>
    </row>
    <row r="782" spans="1:7" x14ac:dyDescent="0.2">
      <c r="A782" s="44"/>
      <c r="B782" s="44"/>
      <c r="C782" s="44"/>
      <c r="D782" s="44"/>
      <c r="E782" s="44"/>
      <c r="F782" s="44"/>
      <c r="G782" s="44"/>
    </row>
    <row r="783" spans="1:7" x14ac:dyDescent="0.2">
      <c r="A783" s="43"/>
      <c r="B783" s="43"/>
      <c r="C783" s="43"/>
      <c r="D783" s="43"/>
      <c r="E783" s="43"/>
      <c r="F783" s="43"/>
      <c r="G783" s="43"/>
    </row>
    <row r="784" spans="1:7" x14ac:dyDescent="0.2">
      <c r="A784" s="44"/>
      <c r="B784" s="44"/>
      <c r="C784" s="44"/>
      <c r="D784" s="44"/>
      <c r="E784" s="44"/>
      <c r="F784" s="44"/>
      <c r="G784" s="44"/>
    </row>
    <row r="785" spans="1:7" x14ac:dyDescent="0.2">
      <c r="A785" s="43"/>
      <c r="B785" s="43"/>
      <c r="C785" s="43"/>
      <c r="D785" s="43"/>
      <c r="E785" s="43"/>
      <c r="F785" s="43"/>
      <c r="G785" s="43"/>
    </row>
    <row r="786" spans="1:7" x14ac:dyDescent="0.2">
      <c r="A786" s="44"/>
      <c r="B786" s="44"/>
      <c r="C786" s="44"/>
      <c r="D786" s="44"/>
      <c r="E786" s="44"/>
      <c r="F786" s="44"/>
      <c r="G786" s="44"/>
    </row>
    <row r="787" spans="1:7" x14ac:dyDescent="0.2">
      <c r="A787" s="43"/>
      <c r="B787" s="43"/>
      <c r="C787" s="43"/>
      <c r="D787" s="43"/>
      <c r="E787" s="43"/>
      <c r="F787" s="43"/>
      <c r="G787" s="43"/>
    </row>
    <row r="788" spans="1:7" x14ac:dyDescent="0.2">
      <c r="A788" s="44"/>
      <c r="B788" s="44"/>
      <c r="C788" s="44"/>
      <c r="D788" s="44"/>
      <c r="E788" s="44"/>
      <c r="F788" s="44"/>
      <c r="G788" s="44"/>
    </row>
    <row r="789" spans="1:7" x14ac:dyDescent="0.2">
      <c r="A789" s="43"/>
      <c r="B789" s="43"/>
      <c r="C789" s="43"/>
      <c r="D789" s="43"/>
      <c r="E789" s="43"/>
      <c r="F789" s="43"/>
      <c r="G789" s="43"/>
    </row>
    <row r="790" spans="1:7" x14ac:dyDescent="0.2">
      <c r="A790" s="44"/>
      <c r="B790" s="44"/>
      <c r="C790" s="44"/>
      <c r="D790" s="44"/>
      <c r="E790" s="44"/>
      <c r="F790" s="44"/>
      <c r="G790" s="44"/>
    </row>
    <row r="791" spans="1:7" x14ac:dyDescent="0.2">
      <c r="A791" s="43"/>
      <c r="B791" s="43"/>
      <c r="C791" s="43"/>
      <c r="D791" s="43"/>
      <c r="E791" s="43"/>
      <c r="F791" s="43"/>
      <c r="G791" s="43"/>
    </row>
    <row r="792" spans="1:7" x14ac:dyDescent="0.2">
      <c r="A792" s="44"/>
      <c r="B792" s="44"/>
      <c r="C792" s="44"/>
      <c r="D792" s="44"/>
      <c r="E792" s="44"/>
      <c r="F792" s="44"/>
      <c r="G792" s="44"/>
    </row>
    <row r="793" spans="1:7" x14ac:dyDescent="0.2">
      <c r="A793" s="43"/>
      <c r="B793" s="43"/>
      <c r="C793" s="43"/>
      <c r="D793" s="43"/>
      <c r="E793" s="43"/>
      <c r="F793" s="43"/>
      <c r="G793" s="43"/>
    </row>
    <row r="794" spans="1:7" x14ac:dyDescent="0.2">
      <c r="A794" s="44"/>
      <c r="B794" s="44"/>
      <c r="C794" s="44"/>
      <c r="D794" s="44"/>
      <c r="E794" s="44"/>
      <c r="F794" s="44"/>
      <c r="G794" s="44"/>
    </row>
    <row r="795" spans="1:7" x14ac:dyDescent="0.2">
      <c r="A795" s="43"/>
      <c r="B795" s="43"/>
      <c r="C795" s="43"/>
      <c r="D795" s="43"/>
      <c r="E795" s="43"/>
      <c r="F795" s="43"/>
      <c r="G795" s="43"/>
    </row>
    <row r="796" spans="1:7" x14ac:dyDescent="0.2">
      <c r="A796" s="44"/>
      <c r="B796" s="44"/>
      <c r="C796" s="44"/>
      <c r="D796" s="44"/>
      <c r="E796" s="44"/>
      <c r="F796" s="44"/>
      <c r="G796" s="44"/>
    </row>
    <row r="797" spans="1:7" x14ac:dyDescent="0.2">
      <c r="A797" s="43"/>
      <c r="B797" s="43"/>
      <c r="C797" s="43"/>
      <c r="D797" s="43"/>
      <c r="E797" s="43"/>
      <c r="F797" s="43"/>
      <c r="G797" s="43"/>
    </row>
    <row r="798" spans="1:7" x14ac:dyDescent="0.2">
      <c r="A798" s="44"/>
      <c r="B798" s="44"/>
      <c r="C798" s="44"/>
      <c r="D798" s="44"/>
      <c r="E798" s="44"/>
      <c r="F798" s="44"/>
      <c r="G798" s="44"/>
    </row>
    <row r="799" spans="1:7" x14ac:dyDescent="0.2">
      <c r="A799" s="43"/>
      <c r="B799" s="43"/>
      <c r="C799" s="43"/>
      <c r="D799" s="43"/>
      <c r="E799" s="43"/>
      <c r="F799" s="43"/>
      <c r="G799" s="43"/>
    </row>
    <row r="800" spans="1:7" x14ac:dyDescent="0.2">
      <c r="A800" s="44"/>
      <c r="B800" s="44"/>
      <c r="C800" s="44"/>
      <c r="D800" s="44"/>
      <c r="E800" s="44"/>
      <c r="F800" s="44"/>
      <c r="G800" s="44"/>
    </row>
    <row r="801" spans="1:7" x14ac:dyDescent="0.2">
      <c r="A801" s="43"/>
      <c r="B801" s="43"/>
      <c r="C801" s="43"/>
      <c r="D801" s="43"/>
      <c r="E801" s="43"/>
      <c r="F801" s="43"/>
      <c r="G801" s="43"/>
    </row>
    <row r="802" spans="1:7" x14ac:dyDescent="0.2">
      <c r="A802" s="44"/>
      <c r="B802" s="44"/>
      <c r="C802" s="44"/>
      <c r="D802" s="44"/>
      <c r="E802" s="44"/>
      <c r="F802" s="44"/>
      <c r="G802" s="44"/>
    </row>
    <row r="803" spans="1:7" x14ac:dyDescent="0.2">
      <c r="A803" s="43"/>
      <c r="B803" s="43"/>
      <c r="C803" s="43"/>
      <c r="D803" s="43"/>
      <c r="E803" s="43"/>
      <c r="F803" s="43"/>
      <c r="G803" s="43"/>
    </row>
    <row r="804" spans="1:7" x14ac:dyDescent="0.2">
      <c r="A804" s="44"/>
      <c r="B804" s="44"/>
      <c r="C804" s="44"/>
      <c r="D804" s="44"/>
      <c r="E804" s="44"/>
      <c r="F804" s="44"/>
      <c r="G804" s="44"/>
    </row>
    <row r="805" spans="1:7" x14ac:dyDescent="0.2">
      <c r="A805" s="43"/>
      <c r="B805" s="43"/>
      <c r="C805" s="43"/>
      <c r="D805" s="43"/>
      <c r="E805" s="43"/>
      <c r="F805" s="43"/>
      <c r="G805" s="43"/>
    </row>
    <row r="806" spans="1:7" x14ac:dyDescent="0.2">
      <c r="A806" s="44"/>
      <c r="B806" s="44"/>
      <c r="C806" s="44"/>
      <c r="D806" s="44"/>
      <c r="E806" s="44"/>
      <c r="F806" s="44"/>
      <c r="G806" s="44"/>
    </row>
    <row r="807" spans="1:7" x14ac:dyDescent="0.2">
      <c r="A807" s="43"/>
      <c r="B807" s="43"/>
      <c r="C807" s="43"/>
      <c r="D807" s="43"/>
      <c r="E807" s="43"/>
      <c r="F807" s="43"/>
      <c r="G807" s="43"/>
    </row>
    <row r="808" spans="1:7" x14ac:dyDescent="0.2">
      <c r="A808" s="44"/>
      <c r="B808" s="44"/>
      <c r="C808" s="44"/>
      <c r="D808" s="44"/>
      <c r="E808" s="44"/>
      <c r="F808" s="44"/>
      <c r="G808" s="44"/>
    </row>
    <row r="809" spans="1:7" x14ac:dyDescent="0.2">
      <c r="A809" s="43"/>
      <c r="B809" s="43"/>
      <c r="C809" s="43"/>
      <c r="D809" s="43"/>
      <c r="E809" s="43"/>
      <c r="F809" s="43"/>
      <c r="G809" s="43"/>
    </row>
    <row r="810" spans="1:7" x14ac:dyDescent="0.2">
      <c r="A810" s="44"/>
      <c r="B810" s="44"/>
      <c r="C810" s="44"/>
      <c r="D810" s="44"/>
      <c r="E810" s="44"/>
      <c r="F810" s="44"/>
      <c r="G810" s="44"/>
    </row>
    <row r="811" spans="1:7" x14ac:dyDescent="0.2">
      <c r="A811" s="43"/>
      <c r="B811" s="43"/>
      <c r="C811" s="43"/>
      <c r="D811" s="43"/>
      <c r="E811" s="43"/>
      <c r="F811" s="43"/>
      <c r="G811" s="43"/>
    </row>
    <row r="812" spans="1:7" x14ac:dyDescent="0.2">
      <c r="A812" s="44"/>
      <c r="B812" s="44"/>
      <c r="C812" s="44"/>
      <c r="D812" s="44"/>
      <c r="E812" s="44"/>
      <c r="F812" s="44"/>
      <c r="G812" s="44"/>
    </row>
    <row r="813" spans="1:7" x14ac:dyDescent="0.2">
      <c r="A813" s="43"/>
      <c r="B813" s="43"/>
      <c r="C813" s="43"/>
      <c r="D813" s="43"/>
      <c r="E813" s="43"/>
      <c r="F813" s="43"/>
      <c r="G813" s="43"/>
    </row>
    <row r="814" spans="1:7" x14ac:dyDescent="0.2">
      <c r="A814" s="44"/>
      <c r="B814" s="44"/>
      <c r="C814" s="44"/>
      <c r="D814" s="44"/>
      <c r="E814" s="44"/>
      <c r="F814" s="44"/>
      <c r="G814" s="44"/>
    </row>
    <row r="815" spans="1:7" x14ac:dyDescent="0.2">
      <c r="A815" s="43"/>
      <c r="B815" s="43"/>
      <c r="C815" s="43"/>
      <c r="D815" s="43"/>
      <c r="E815" s="43"/>
      <c r="F815" s="43"/>
      <c r="G815" s="43"/>
    </row>
    <row r="816" spans="1:7" x14ac:dyDescent="0.2">
      <c r="A816" s="44"/>
      <c r="B816" s="44"/>
      <c r="C816" s="44"/>
      <c r="D816" s="44"/>
      <c r="E816" s="44"/>
      <c r="F816" s="44"/>
      <c r="G816" s="44"/>
    </row>
    <row r="817" spans="1:7" x14ac:dyDescent="0.2">
      <c r="A817" s="43"/>
      <c r="B817" s="43"/>
      <c r="C817" s="43"/>
      <c r="D817" s="43"/>
      <c r="E817" s="43"/>
      <c r="F817" s="43"/>
      <c r="G817" s="43"/>
    </row>
    <row r="818" spans="1:7" x14ac:dyDescent="0.2">
      <c r="A818" s="44"/>
      <c r="B818" s="44"/>
      <c r="C818" s="44"/>
      <c r="D818" s="44"/>
      <c r="E818" s="44"/>
      <c r="F818" s="44"/>
      <c r="G818" s="44"/>
    </row>
    <row r="819" spans="1:7" x14ac:dyDescent="0.2">
      <c r="A819" s="43"/>
      <c r="B819" s="43"/>
      <c r="C819" s="43"/>
      <c r="D819" s="43"/>
      <c r="E819" s="43"/>
      <c r="F819" s="43"/>
      <c r="G819" s="43"/>
    </row>
    <row r="820" spans="1:7" x14ac:dyDescent="0.2">
      <c r="A820" s="44"/>
      <c r="B820" s="44"/>
      <c r="C820" s="44"/>
      <c r="D820" s="44"/>
      <c r="E820" s="44"/>
      <c r="F820" s="44"/>
      <c r="G820" s="44"/>
    </row>
    <row r="821" spans="1:7" x14ac:dyDescent="0.2">
      <c r="A821" s="43"/>
      <c r="B821" s="43"/>
      <c r="C821" s="43"/>
      <c r="D821" s="43"/>
      <c r="E821" s="43"/>
      <c r="F821" s="43"/>
      <c r="G821" s="43"/>
    </row>
    <row r="822" spans="1:7" x14ac:dyDescent="0.2">
      <c r="A822" s="44"/>
      <c r="B822" s="44"/>
      <c r="C822" s="44"/>
      <c r="D822" s="44"/>
      <c r="E822" s="44"/>
      <c r="F822" s="44"/>
      <c r="G822" s="44"/>
    </row>
    <row r="823" spans="1:7" x14ac:dyDescent="0.2">
      <c r="A823" s="43"/>
      <c r="B823" s="43"/>
      <c r="C823" s="43"/>
      <c r="D823" s="43"/>
      <c r="E823" s="43"/>
      <c r="F823" s="43"/>
      <c r="G823" s="43"/>
    </row>
    <row r="824" spans="1:7" x14ac:dyDescent="0.2">
      <c r="A824" s="44"/>
      <c r="B824" s="44"/>
      <c r="C824" s="44"/>
      <c r="D824" s="44"/>
      <c r="E824" s="44"/>
      <c r="F824" s="44"/>
      <c r="G824" s="44"/>
    </row>
    <row r="825" spans="1:7" x14ac:dyDescent="0.2">
      <c r="A825" s="43"/>
      <c r="B825" s="43"/>
      <c r="C825" s="43"/>
      <c r="D825" s="43"/>
      <c r="E825" s="43"/>
      <c r="F825" s="43"/>
      <c r="G825" s="43"/>
    </row>
    <row r="826" spans="1:7" x14ac:dyDescent="0.2">
      <c r="A826" s="44"/>
      <c r="B826" s="44"/>
      <c r="C826" s="44"/>
      <c r="D826" s="44"/>
      <c r="E826" s="44"/>
      <c r="F826" s="44"/>
      <c r="G826" s="44"/>
    </row>
    <row r="827" spans="1:7" x14ac:dyDescent="0.2">
      <c r="A827" s="43"/>
      <c r="B827" s="43"/>
      <c r="C827" s="43"/>
      <c r="D827" s="43"/>
      <c r="E827" s="43"/>
      <c r="F827" s="43"/>
      <c r="G827" s="43"/>
    </row>
    <row r="828" spans="1:7" x14ac:dyDescent="0.2">
      <c r="A828" s="44"/>
      <c r="B828" s="44"/>
      <c r="C828" s="44"/>
      <c r="D828" s="44"/>
      <c r="E828" s="44"/>
      <c r="F828" s="44"/>
      <c r="G828" s="44"/>
    </row>
    <row r="829" spans="1:7" x14ac:dyDescent="0.2">
      <c r="A829" s="43"/>
      <c r="B829" s="43"/>
      <c r="C829" s="43"/>
      <c r="D829" s="43"/>
      <c r="E829" s="43"/>
      <c r="F829" s="43"/>
      <c r="G829" s="43"/>
    </row>
    <row r="830" spans="1:7" x14ac:dyDescent="0.2">
      <c r="A830" s="44"/>
      <c r="B830" s="44"/>
      <c r="C830" s="44"/>
      <c r="D830" s="44"/>
      <c r="E830" s="44"/>
      <c r="F830" s="44"/>
      <c r="G830" s="44"/>
    </row>
    <row r="831" spans="1:7" x14ac:dyDescent="0.2">
      <c r="A831" s="43"/>
      <c r="B831" s="43"/>
      <c r="C831" s="43"/>
      <c r="D831" s="43"/>
      <c r="E831" s="43"/>
      <c r="F831" s="43"/>
      <c r="G831" s="43"/>
    </row>
    <row r="832" spans="1:7" x14ac:dyDescent="0.2">
      <c r="A832" s="44"/>
      <c r="B832" s="44"/>
      <c r="C832" s="44"/>
      <c r="D832" s="44"/>
      <c r="E832" s="44"/>
      <c r="F832" s="44"/>
      <c r="G832" s="44"/>
    </row>
    <row r="833" spans="1:7" x14ac:dyDescent="0.2">
      <c r="A833" s="43"/>
      <c r="B833" s="43"/>
      <c r="C833" s="43"/>
      <c r="D833" s="43"/>
      <c r="E833" s="43"/>
      <c r="F833" s="43"/>
      <c r="G833" s="43"/>
    </row>
    <row r="834" spans="1:7" x14ac:dyDescent="0.2">
      <c r="A834" s="44"/>
      <c r="B834" s="44"/>
      <c r="C834" s="44"/>
      <c r="D834" s="44"/>
      <c r="E834" s="44"/>
      <c r="F834" s="44"/>
      <c r="G834" s="44"/>
    </row>
    <row r="835" spans="1:7" x14ac:dyDescent="0.2">
      <c r="A835" s="43"/>
      <c r="B835" s="43"/>
      <c r="C835" s="43"/>
      <c r="D835" s="43"/>
      <c r="E835" s="43"/>
      <c r="F835" s="43"/>
      <c r="G835" s="43"/>
    </row>
    <row r="836" spans="1:7" x14ac:dyDescent="0.2">
      <c r="A836" s="44"/>
      <c r="B836" s="44"/>
      <c r="C836" s="44"/>
      <c r="D836" s="44"/>
      <c r="E836" s="44"/>
      <c r="F836" s="44"/>
      <c r="G836" s="44"/>
    </row>
    <row r="837" spans="1:7" x14ac:dyDescent="0.2">
      <c r="A837" s="43"/>
      <c r="B837" s="43"/>
      <c r="C837" s="43"/>
      <c r="D837" s="43"/>
      <c r="E837" s="43"/>
      <c r="F837" s="43"/>
      <c r="G837" s="43"/>
    </row>
    <row r="838" spans="1:7" x14ac:dyDescent="0.2">
      <c r="A838" s="44"/>
      <c r="B838" s="44"/>
      <c r="C838" s="44"/>
      <c r="D838" s="44"/>
      <c r="E838" s="44"/>
      <c r="F838" s="44"/>
      <c r="G838" s="44"/>
    </row>
    <row r="839" spans="1:7" x14ac:dyDescent="0.2">
      <c r="A839" s="43"/>
      <c r="B839" s="43"/>
      <c r="C839" s="43"/>
      <c r="D839" s="43"/>
      <c r="E839" s="43"/>
      <c r="F839" s="43"/>
      <c r="G839" s="43"/>
    </row>
    <row r="840" spans="1:7" x14ac:dyDescent="0.2">
      <c r="A840" s="44"/>
      <c r="B840" s="44"/>
      <c r="C840" s="44"/>
      <c r="D840" s="44"/>
      <c r="E840" s="44"/>
      <c r="F840" s="44"/>
      <c r="G840" s="44"/>
    </row>
    <row r="841" spans="1:7" x14ac:dyDescent="0.2">
      <c r="A841" s="43"/>
      <c r="B841" s="43"/>
      <c r="C841" s="43"/>
      <c r="D841" s="43"/>
      <c r="E841" s="43"/>
      <c r="F841" s="43"/>
      <c r="G841" s="43"/>
    </row>
    <row r="842" spans="1:7" x14ac:dyDescent="0.2">
      <c r="A842" s="44"/>
      <c r="B842" s="44"/>
      <c r="C842" s="44"/>
      <c r="D842" s="44"/>
      <c r="E842" s="44"/>
      <c r="F842" s="44"/>
      <c r="G842" s="44"/>
    </row>
    <row r="843" spans="1:7" x14ac:dyDescent="0.2">
      <c r="A843" s="43"/>
      <c r="B843" s="43"/>
      <c r="C843" s="43"/>
      <c r="D843" s="43"/>
      <c r="E843" s="43"/>
      <c r="F843" s="43"/>
      <c r="G843" s="43"/>
    </row>
    <row r="844" spans="1:7" x14ac:dyDescent="0.2">
      <c r="A844" s="44"/>
      <c r="B844" s="44"/>
      <c r="C844" s="44"/>
      <c r="D844" s="44"/>
      <c r="E844" s="44"/>
      <c r="F844" s="44"/>
      <c r="G844" s="44"/>
    </row>
    <row r="845" spans="1:7" x14ac:dyDescent="0.2">
      <c r="A845" s="43"/>
      <c r="B845" s="43"/>
      <c r="C845" s="43"/>
      <c r="D845" s="43"/>
      <c r="E845" s="43"/>
      <c r="F845" s="43"/>
      <c r="G845" s="43"/>
    </row>
    <row r="846" spans="1:7" x14ac:dyDescent="0.2">
      <c r="A846" s="44"/>
      <c r="B846" s="44"/>
      <c r="C846" s="44"/>
      <c r="D846" s="44"/>
      <c r="E846" s="44"/>
      <c r="F846" s="44"/>
      <c r="G846" s="44"/>
    </row>
    <row r="847" spans="1:7" x14ac:dyDescent="0.2">
      <c r="A847" s="43"/>
      <c r="B847" s="43"/>
      <c r="C847" s="43"/>
      <c r="D847" s="43"/>
      <c r="E847" s="43"/>
      <c r="F847" s="43"/>
      <c r="G847" s="43"/>
    </row>
    <row r="848" spans="1:7" x14ac:dyDescent="0.2">
      <c r="A848" s="44"/>
      <c r="B848" s="44"/>
      <c r="C848" s="44"/>
      <c r="D848" s="44"/>
      <c r="E848" s="44"/>
      <c r="F848" s="44"/>
      <c r="G848" s="44"/>
    </row>
    <row r="849" spans="1:7" x14ac:dyDescent="0.2">
      <c r="A849" s="43"/>
      <c r="B849" s="43"/>
      <c r="C849" s="43"/>
      <c r="D849" s="43"/>
      <c r="E849" s="43"/>
      <c r="F849" s="43"/>
      <c r="G849" s="43"/>
    </row>
    <row r="850" spans="1:7" x14ac:dyDescent="0.2">
      <c r="A850" s="44"/>
      <c r="B850" s="44"/>
      <c r="C850" s="44"/>
      <c r="D850" s="44"/>
      <c r="E850" s="44"/>
      <c r="F850" s="44"/>
      <c r="G850" s="44"/>
    </row>
    <row r="851" spans="1:7" x14ac:dyDescent="0.2">
      <c r="A851" s="43"/>
      <c r="B851" s="43"/>
      <c r="C851" s="43"/>
      <c r="D851" s="43"/>
      <c r="E851" s="43"/>
      <c r="F851" s="43"/>
      <c r="G851" s="43"/>
    </row>
    <row r="852" spans="1:7" x14ac:dyDescent="0.2">
      <c r="A852" s="44"/>
      <c r="B852" s="44"/>
      <c r="C852" s="44"/>
      <c r="D852" s="44"/>
      <c r="E852" s="44"/>
      <c r="F852" s="44"/>
      <c r="G852" s="44"/>
    </row>
    <row r="853" spans="1:7" x14ac:dyDescent="0.2">
      <c r="A853" s="43"/>
      <c r="B853" s="43"/>
      <c r="C853" s="43"/>
      <c r="D853" s="43"/>
      <c r="E853" s="43"/>
      <c r="F853" s="43"/>
      <c r="G853" s="43"/>
    </row>
    <row r="854" spans="1:7" x14ac:dyDescent="0.2">
      <c r="A854" s="44"/>
      <c r="B854" s="44"/>
      <c r="C854" s="44"/>
      <c r="D854" s="44"/>
      <c r="E854" s="44"/>
      <c r="F854" s="44"/>
      <c r="G854" s="44"/>
    </row>
    <row r="855" spans="1:7" x14ac:dyDescent="0.2">
      <c r="A855" s="43"/>
      <c r="B855" s="43"/>
      <c r="C855" s="43"/>
      <c r="D855" s="43"/>
      <c r="E855" s="43"/>
      <c r="F855" s="43"/>
      <c r="G855" s="43"/>
    </row>
    <row r="856" spans="1:7" x14ac:dyDescent="0.2">
      <c r="A856" s="44"/>
      <c r="B856" s="44"/>
      <c r="C856" s="44"/>
      <c r="D856" s="44"/>
      <c r="E856" s="44"/>
      <c r="F856" s="44"/>
      <c r="G856" s="44"/>
    </row>
    <row r="857" spans="1:7" x14ac:dyDescent="0.2">
      <c r="A857" s="43"/>
      <c r="B857" s="43"/>
      <c r="C857" s="43"/>
      <c r="D857" s="43"/>
      <c r="E857" s="43"/>
      <c r="F857" s="43"/>
      <c r="G857" s="43"/>
    </row>
    <row r="858" spans="1:7" x14ac:dyDescent="0.2">
      <c r="A858" s="44"/>
      <c r="B858" s="44"/>
      <c r="C858" s="44"/>
      <c r="D858" s="44"/>
      <c r="E858" s="44"/>
      <c r="F858" s="44"/>
      <c r="G858" s="44"/>
    </row>
    <row r="859" spans="1:7" x14ac:dyDescent="0.2">
      <c r="A859" s="43"/>
      <c r="B859" s="43"/>
      <c r="C859" s="43"/>
      <c r="D859" s="43"/>
      <c r="E859" s="43"/>
      <c r="F859" s="43"/>
      <c r="G859" s="43"/>
    </row>
    <row r="860" spans="1:7" x14ac:dyDescent="0.2">
      <c r="A860" s="44"/>
      <c r="B860" s="44"/>
      <c r="C860" s="44"/>
      <c r="D860" s="44"/>
      <c r="E860" s="44"/>
      <c r="F860" s="44"/>
      <c r="G860" s="44"/>
    </row>
    <row r="861" spans="1:7" x14ac:dyDescent="0.2">
      <c r="A861" s="43"/>
      <c r="B861" s="43"/>
      <c r="C861" s="43"/>
      <c r="D861" s="43"/>
      <c r="E861" s="43"/>
      <c r="F861" s="43"/>
      <c r="G861" s="43"/>
    </row>
    <row r="862" spans="1:7" x14ac:dyDescent="0.2">
      <c r="A862" s="44"/>
      <c r="B862" s="44"/>
      <c r="C862" s="44"/>
      <c r="D862" s="44"/>
      <c r="E862" s="44"/>
      <c r="F862" s="44"/>
      <c r="G862" s="44"/>
    </row>
    <row r="863" spans="1:7" x14ac:dyDescent="0.2">
      <c r="A863" s="43"/>
      <c r="B863" s="43"/>
      <c r="C863" s="43"/>
      <c r="D863" s="43"/>
      <c r="E863" s="43"/>
      <c r="F863" s="43"/>
      <c r="G863" s="43"/>
    </row>
    <row r="864" spans="1:7" x14ac:dyDescent="0.2">
      <c r="A864" s="44"/>
      <c r="B864" s="44"/>
      <c r="C864" s="44"/>
      <c r="D864" s="44"/>
      <c r="E864" s="44"/>
      <c r="F864" s="44"/>
      <c r="G864" s="44"/>
    </row>
    <row r="865" spans="1:7" x14ac:dyDescent="0.2">
      <c r="A865" s="43"/>
      <c r="B865" s="43"/>
      <c r="C865" s="43"/>
      <c r="D865" s="43"/>
      <c r="E865" s="43"/>
      <c r="F865" s="43"/>
      <c r="G865" s="43"/>
    </row>
    <row r="866" spans="1:7" x14ac:dyDescent="0.2">
      <c r="A866" s="44"/>
      <c r="B866" s="44"/>
      <c r="C866" s="44"/>
      <c r="D866" s="44"/>
      <c r="E866" s="44"/>
      <c r="F866" s="44"/>
      <c r="G866" s="44"/>
    </row>
    <row r="867" spans="1:7" x14ac:dyDescent="0.2">
      <c r="A867" s="43"/>
      <c r="B867" s="43"/>
      <c r="C867" s="43"/>
      <c r="D867" s="43"/>
      <c r="E867" s="43"/>
      <c r="F867" s="43"/>
      <c r="G867" s="43"/>
    </row>
    <row r="868" spans="1:7" x14ac:dyDescent="0.2">
      <c r="A868" s="44"/>
      <c r="B868" s="44"/>
      <c r="C868" s="44"/>
      <c r="D868" s="44"/>
      <c r="E868" s="44"/>
      <c r="F868" s="44"/>
      <c r="G868" s="44"/>
    </row>
    <row r="869" spans="1:7" x14ac:dyDescent="0.2">
      <c r="A869" s="43"/>
      <c r="B869" s="43"/>
      <c r="C869" s="43"/>
      <c r="D869" s="43"/>
      <c r="E869" s="43"/>
      <c r="F869" s="43"/>
      <c r="G869" s="43"/>
    </row>
    <row r="870" spans="1:7" x14ac:dyDescent="0.2">
      <c r="A870" s="44"/>
      <c r="B870" s="44"/>
      <c r="C870" s="44"/>
      <c r="D870" s="44"/>
      <c r="E870" s="44"/>
      <c r="F870" s="44"/>
      <c r="G870" s="44"/>
    </row>
    <row r="871" spans="1:7" x14ac:dyDescent="0.2">
      <c r="A871" s="43"/>
      <c r="B871" s="43"/>
      <c r="C871" s="43"/>
      <c r="D871" s="43"/>
      <c r="E871" s="43"/>
      <c r="F871" s="43"/>
      <c r="G871" s="43"/>
    </row>
    <row r="872" spans="1:7" x14ac:dyDescent="0.2">
      <c r="A872" s="44"/>
      <c r="B872" s="44"/>
      <c r="C872" s="44"/>
      <c r="D872" s="44"/>
      <c r="E872" s="44"/>
      <c r="F872" s="44"/>
      <c r="G872" s="44"/>
    </row>
    <row r="873" spans="1:7" x14ac:dyDescent="0.2">
      <c r="A873" s="43"/>
      <c r="B873" s="43"/>
      <c r="C873" s="43"/>
      <c r="D873" s="43"/>
      <c r="E873" s="43"/>
      <c r="F873" s="43"/>
      <c r="G873" s="43"/>
    </row>
    <row r="874" spans="1:7" x14ac:dyDescent="0.2">
      <c r="A874" s="44"/>
      <c r="B874" s="44"/>
      <c r="C874" s="44"/>
      <c r="D874" s="44"/>
      <c r="E874" s="44"/>
      <c r="F874" s="44"/>
      <c r="G874" s="44"/>
    </row>
    <row r="875" spans="1:7" x14ac:dyDescent="0.2">
      <c r="A875" s="43"/>
      <c r="B875" s="43"/>
      <c r="C875" s="43"/>
      <c r="D875" s="43"/>
      <c r="E875" s="43"/>
      <c r="F875" s="43"/>
      <c r="G875" s="43"/>
    </row>
    <row r="876" spans="1:7" x14ac:dyDescent="0.2">
      <c r="A876" s="44"/>
      <c r="B876" s="44"/>
      <c r="C876" s="44"/>
      <c r="D876" s="44"/>
      <c r="E876" s="44"/>
      <c r="F876" s="44"/>
      <c r="G876" s="44"/>
    </row>
    <row r="877" spans="1:7" x14ac:dyDescent="0.2">
      <c r="A877" s="43"/>
      <c r="B877" s="43"/>
      <c r="C877" s="43"/>
      <c r="D877" s="43"/>
      <c r="E877" s="43"/>
      <c r="F877" s="43"/>
      <c r="G877" s="43"/>
    </row>
    <row r="878" spans="1:7" x14ac:dyDescent="0.2">
      <c r="A878" s="44"/>
      <c r="B878" s="44"/>
      <c r="C878" s="44"/>
      <c r="D878" s="44"/>
      <c r="E878" s="44"/>
      <c r="F878" s="44"/>
      <c r="G878" s="44"/>
    </row>
    <row r="879" spans="1:7" x14ac:dyDescent="0.2">
      <c r="A879" s="43"/>
      <c r="B879" s="43"/>
      <c r="C879" s="43"/>
      <c r="D879" s="43"/>
      <c r="E879" s="43"/>
      <c r="F879" s="43"/>
      <c r="G879" s="43"/>
    </row>
    <row r="880" spans="1:7" x14ac:dyDescent="0.2">
      <c r="A880" s="44"/>
      <c r="B880" s="44"/>
      <c r="C880" s="44"/>
      <c r="D880" s="44"/>
      <c r="E880" s="44"/>
      <c r="F880" s="44"/>
      <c r="G880" s="44"/>
    </row>
    <row r="881" spans="1:7" x14ac:dyDescent="0.2">
      <c r="A881" s="43"/>
      <c r="B881" s="43"/>
      <c r="C881" s="43"/>
      <c r="D881" s="43"/>
      <c r="E881" s="43"/>
      <c r="F881" s="43"/>
      <c r="G881" s="43"/>
    </row>
    <row r="882" spans="1:7" x14ac:dyDescent="0.2">
      <c r="A882" s="44"/>
      <c r="B882" s="44"/>
      <c r="C882" s="44"/>
      <c r="D882" s="44"/>
      <c r="E882" s="44"/>
      <c r="F882" s="44"/>
      <c r="G882" s="44"/>
    </row>
    <row r="883" spans="1:7" x14ac:dyDescent="0.2">
      <c r="A883" s="43"/>
      <c r="B883" s="43"/>
      <c r="C883" s="43"/>
      <c r="D883" s="43"/>
      <c r="E883" s="43"/>
      <c r="F883" s="43"/>
      <c r="G883" s="43"/>
    </row>
    <row r="884" spans="1:7" x14ac:dyDescent="0.2">
      <c r="A884" s="44"/>
      <c r="B884" s="44"/>
      <c r="C884" s="44"/>
      <c r="D884" s="44"/>
      <c r="E884" s="44"/>
      <c r="F884" s="44"/>
      <c r="G884" s="44"/>
    </row>
    <row r="885" spans="1:7" x14ac:dyDescent="0.2">
      <c r="A885" s="43"/>
      <c r="B885" s="43"/>
      <c r="C885" s="43"/>
      <c r="D885" s="43"/>
      <c r="E885" s="43"/>
      <c r="F885" s="43"/>
      <c r="G885" s="43"/>
    </row>
    <row r="886" spans="1:7" x14ac:dyDescent="0.2">
      <c r="A886" s="44"/>
      <c r="B886" s="44"/>
      <c r="C886" s="44"/>
      <c r="D886" s="44"/>
      <c r="E886" s="44"/>
      <c r="F886" s="44"/>
      <c r="G886" s="44"/>
    </row>
    <row r="887" spans="1:7" x14ac:dyDescent="0.2">
      <c r="A887" s="43"/>
      <c r="B887" s="43"/>
      <c r="C887" s="43"/>
      <c r="D887" s="43"/>
      <c r="E887" s="43"/>
      <c r="F887" s="43"/>
      <c r="G887" s="43"/>
    </row>
    <row r="888" spans="1:7" x14ac:dyDescent="0.2">
      <c r="A888" s="44"/>
      <c r="B888" s="44"/>
      <c r="C888" s="44"/>
      <c r="D888" s="44"/>
      <c r="E888" s="44"/>
      <c r="F888" s="44"/>
      <c r="G888" s="44"/>
    </row>
    <row r="889" spans="1:7" x14ac:dyDescent="0.2">
      <c r="A889" s="43"/>
      <c r="B889" s="43"/>
      <c r="C889" s="43"/>
      <c r="D889" s="43"/>
      <c r="E889" s="43"/>
      <c r="F889" s="43"/>
      <c r="G889" s="43"/>
    </row>
    <row r="890" spans="1:7" x14ac:dyDescent="0.2">
      <c r="A890" s="44"/>
      <c r="B890" s="44"/>
      <c r="C890" s="44"/>
      <c r="D890" s="44"/>
      <c r="E890" s="44"/>
      <c r="F890" s="44"/>
      <c r="G890" s="44"/>
    </row>
    <row r="891" spans="1:7" x14ac:dyDescent="0.2">
      <c r="A891" s="43"/>
      <c r="B891" s="43"/>
      <c r="C891" s="43"/>
      <c r="D891" s="43"/>
      <c r="E891" s="43"/>
      <c r="F891" s="43"/>
      <c r="G891" s="43"/>
    </row>
    <row r="892" spans="1:7" x14ac:dyDescent="0.2">
      <c r="A892" s="44"/>
      <c r="B892" s="44"/>
      <c r="C892" s="44"/>
      <c r="D892" s="44"/>
      <c r="E892" s="44"/>
      <c r="F892" s="44"/>
      <c r="G892" s="44"/>
    </row>
    <row r="893" spans="1:7" x14ac:dyDescent="0.2">
      <c r="A893" s="43"/>
      <c r="B893" s="43"/>
      <c r="C893" s="43"/>
      <c r="D893" s="43"/>
      <c r="E893" s="43"/>
      <c r="F893" s="43"/>
      <c r="G893" s="43"/>
    </row>
    <row r="894" spans="1:7" x14ac:dyDescent="0.2">
      <c r="A894" s="44"/>
      <c r="B894" s="44"/>
      <c r="C894" s="44"/>
      <c r="D894" s="44"/>
      <c r="E894" s="44"/>
      <c r="F894" s="44"/>
      <c r="G894" s="44"/>
    </row>
    <row r="895" spans="1:7" x14ac:dyDescent="0.2">
      <c r="A895" s="43"/>
      <c r="B895" s="43"/>
      <c r="C895" s="43"/>
      <c r="D895" s="43"/>
      <c r="E895" s="43"/>
      <c r="F895" s="43"/>
      <c r="G895" s="43"/>
    </row>
    <row r="896" spans="1:7" x14ac:dyDescent="0.2">
      <c r="A896" s="44"/>
      <c r="B896" s="44"/>
      <c r="C896" s="44"/>
      <c r="D896" s="44"/>
      <c r="E896" s="44"/>
      <c r="F896" s="44"/>
      <c r="G896" s="44"/>
    </row>
    <row r="897" spans="1:7" x14ac:dyDescent="0.2">
      <c r="A897" s="43"/>
      <c r="B897" s="43"/>
      <c r="C897" s="43"/>
      <c r="D897" s="43"/>
      <c r="E897" s="43"/>
      <c r="F897" s="43"/>
      <c r="G897" s="43"/>
    </row>
    <row r="898" spans="1:7" x14ac:dyDescent="0.2">
      <c r="A898" s="44"/>
      <c r="B898" s="44"/>
      <c r="C898" s="44"/>
      <c r="D898" s="44"/>
      <c r="E898" s="44"/>
      <c r="F898" s="44"/>
      <c r="G898" s="44"/>
    </row>
    <row r="899" spans="1:7" x14ac:dyDescent="0.2">
      <c r="A899" s="43"/>
      <c r="B899" s="43"/>
      <c r="C899" s="43"/>
      <c r="D899" s="43"/>
      <c r="E899" s="43"/>
      <c r="F899" s="43"/>
      <c r="G899" s="43"/>
    </row>
    <row r="900" spans="1:7" x14ac:dyDescent="0.2">
      <c r="A900" s="44"/>
      <c r="B900" s="44"/>
      <c r="C900" s="44"/>
      <c r="D900" s="44"/>
      <c r="E900" s="44"/>
      <c r="F900" s="44"/>
      <c r="G900" s="44"/>
    </row>
    <row r="901" spans="1:7" x14ac:dyDescent="0.2">
      <c r="A901" s="43"/>
      <c r="B901" s="43"/>
      <c r="C901" s="43"/>
      <c r="D901" s="43"/>
      <c r="E901" s="43"/>
      <c r="F901" s="43"/>
      <c r="G901" s="43"/>
    </row>
    <row r="902" spans="1:7" x14ac:dyDescent="0.2">
      <c r="A902" s="44"/>
      <c r="B902" s="44"/>
      <c r="C902" s="44"/>
      <c r="D902" s="44"/>
      <c r="E902" s="44"/>
      <c r="F902" s="44"/>
      <c r="G902" s="44"/>
    </row>
    <row r="903" spans="1:7" x14ac:dyDescent="0.2">
      <c r="A903" s="43"/>
      <c r="B903" s="43"/>
      <c r="C903" s="43"/>
      <c r="D903" s="43"/>
      <c r="E903" s="43"/>
      <c r="F903" s="43"/>
      <c r="G903" s="43"/>
    </row>
    <row r="904" spans="1:7" x14ac:dyDescent="0.2">
      <c r="A904" s="44"/>
      <c r="B904" s="44"/>
      <c r="C904" s="44"/>
      <c r="D904" s="44"/>
      <c r="E904" s="44"/>
      <c r="F904" s="44"/>
      <c r="G904" s="44"/>
    </row>
    <row r="905" spans="1:7" x14ac:dyDescent="0.2">
      <c r="A905" s="43"/>
      <c r="B905" s="43"/>
      <c r="C905" s="43"/>
      <c r="D905" s="43"/>
      <c r="E905" s="43"/>
      <c r="F905" s="43"/>
      <c r="G905" s="43"/>
    </row>
    <row r="906" spans="1:7" x14ac:dyDescent="0.2">
      <c r="A906" s="44"/>
      <c r="B906" s="44"/>
      <c r="C906" s="44"/>
      <c r="D906" s="44"/>
      <c r="E906" s="44"/>
      <c r="F906" s="44"/>
      <c r="G906" s="44"/>
    </row>
    <row r="907" spans="1:7" x14ac:dyDescent="0.2">
      <c r="A907" s="43"/>
      <c r="B907" s="43"/>
      <c r="C907" s="43"/>
      <c r="D907" s="43"/>
      <c r="E907" s="43"/>
      <c r="F907" s="43"/>
      <c r="G907" s="43"/>
    </row>
    <row r="908" spans="1:7" x14ac:dyDescent="0.2">
      <c r="A908" s="44"/>
      <c r="B908" s="44"/>
      <c r="C908" s="44"/>
      <c r="D908" s="44"/>
      <c r="E908" s="44"/>
      <c r="F908" s="44"/>
      <c r="G908" s="44"/>
    </row>
    <row r="909" spans="1:7" x14ac:dyDescent="0.2">
      <c r="A909" s="43"/>
      <c r="B909" s="43"/>
      <c r="C909" s="43"/>
      <c r="D909" s="43"/>
      <c r="E909" s="43"/>
      <c r="F909" s="43"/>
      <c r="G909" s="43"/>
    </row>
    <row r="910" spans="1:7" x14ac:dyDescent="0.2">
      <c r="A910" s="44"/>
      <c r="B910" s="44"/>
      <c r="C910" s="44"/>
      <c r="D910" s="44"/>
      <c r="E910" s="44"/>
      <c r="F910" s="44"/>
      <c r="G910" s="44"/>
    </row>
    <row r="911" spans="1:7" x14ac:dyDescent="0.2">
      <c r="A911" s="43"/>
      <c r="B911" s="43"/>
      <c r="C911" s="43"/>
      <c r="D911" s="43"/>
      <c r="E911" s="43"/>
      <c r="F911" s="43"/>
      <c r="G911" s="43"/>
    </row>
    <row r="912" spans="1:7" x14ac:dyDescent="0.2">
      <c r="A912" s="44"/>
      <c r="B912" s="44"/>
      <c r="C912" s="44"/>
      <c r="D912" s="44"/>
      <c r="E912" s="44"/>
      <c r="F912" s="44"/>
      <c r="G912" s="44"/>
    </row>
    <row r="913" spans="1:7" x14ac:dyDescent="0.2">
      <c r="A913" s="43"/>
      <c r="B913" s="43"/>
      <c r="C913" s="43"/>
      <c r="D913" s="43"/>
      <c r="E913" s="43"/>
      <c r="F913" s="43"/>
      <c r="G913" s="43"/>
    </row>
    <row r="914" spans="1:7" x14ac:dyDescent="0.2">
      <c r="A914" s="44"/>
      <c r="B914" s="44"/>
      <c r="C914" s="44"/>
      <c r="D914" s="44"/>
      <c r="E914" s="44"/>
      <c r="F914" s="44"/>
      <c r="G914" s="44"/>
    </row>
    <row r="915" spans="1:7" x14ac:dyDescent="0.2">
      <c r="A915" s="43"/>
      <c r="B915" s="43"/>
      <c r="C915" s="43"/>
      <c r="D915" s="43"/>
      <c r="E915" s="43"/>
      <c r="F915" s="43"/>
      <c r="G915" s="43"/>
    </row>
    <row r="916" spans="1:7" x14ac:dyDescent="0.2">
      <c r="A916" s="44"/>
      <c r="B916" s="44"/>
      <c r="C916" s="44"/>
      <c r="D916" s="44"/>
      <c r="E916" s="44"/>
      <c r="F916" s="44"/>
      <c r="G916" s="44"/>
    </row>
    <row r="917" spans="1:7" x14ac:dyDescent="0.2">
      <c r="A917" s="43"/>
      <c r="B917" s="43"/>
      <c r="C917" s="43"/>
      <c r="D917" s="43"/>
      <c r="E917" s="43"/>
      <c r="F917" s="43"/>
      <c r="G917" s="43"/>
    </row>
    <row r="918" spans="1:7" x14ac:dyDescent="0.2">
      <c r="A918" s="44"/>
      <c r="B918" s="44"/>
      <c r="C918" s="44"/>
      <c r="D918" s="44"/>
      <c r="E918" s="44"/>
      <c r="F918" s="44"/>
      <c r="G918" s="44"/>
    </row>
    <row r="919" spans="1:7" x14ac:dyDescent="0.2">
      <c r="A919" s="43"/>
      <c r="B919" s="43"/>
      <c r="C919" s="43"/>
      <c r="D919" s="43"/>
      <c r="E919" s="43"/>
      <c r="F919" s="43"/>
      <c r="G919" s="43"/>
    </row>
    <row r="920" spans="1:7" x14ac:dyDescent="0.2">
      <c r="A920" s="44"/>
      <c r="B920" s="44"/>
      <c r="C920" s="44"/>
      <c r="D920" s="44"/>
      <c r="E920" s="44"/>
      <c r="F920" s="44"/>
      <c r="G920" s="44"/>
    </row>
    <row r="921" spans="1:7" x14ac:dyDescent="0.2">
      <c r="A921" s="43"/>
      <c r="B921" s="43"/>
      <c r="C921" s="43"/>
      <c r="D921" s="43"/>
      <c r="E921" s="43"/>
      <c r="F921" s="43"/>
      <c r="G921" s="43"/>
    </row>
    <row r="922" spans="1:7" x14ac:dyDescent="0.2">
      <c r="A922" s="44"/>
      <c r="B922" s="44"/>
      <c r="C922" s="44"/>
      <c r="D922" s="44"/>
      <c r="E922" s="44"/>
      <c r="F922" s="44"/>
      <c r="G922" s="44"/>
    </row>
    <row r="923" spans="1:7" x14ac:dyDescent="0.2">
      <c r="A923" s="43"/>
      <c r="B923" s="43"/>
      <c r="C923" s="43"/>
      <c r="D923" s="43"/>
      <c r="E923" s="43"/>
      <c r="F923" s="43"/>
      <c r="G923" s="43"/>
    </row>
    <row r="924" spans="1:7" x14ac:dyDescent="0.2">
      <c r="A924" s="44"/>
      <c r="B924" s="44"/>
      <c r="C924" s="44"/>
      <c r="D924" s="44"/>
      <c r="E924" s="44"/>
      <c r="F924" s="44"/>
      <c r="G924" s="44"/>
    </row>
    <row r="925" spans="1:7" x14ac:dyDescent="0.2">
      <c r="A925" s="43"/>
      <c r="B925" s="43"/>
      <c r="C925" s="43"/>
      <c r="D925" s="43"/>
      <c r="E925" s="43"/>
      <c r="F925" s="43"/>
      <c r="G925" s="43"/>
    </row>
    <row r="926" spans="1:7" x14ac:dyDescent="0.2">
      <c r="A926" s="44"/>
      <c r="B926" s="44"/>
      <c r="C926" s="44"/>
      <c r="D926" s="44"/>
      <c r="E926" s="44"/>
      <c r="F926" s="44"/>
      <c r="G926" s="44"/>
    </row>
    <row r="927" spans="1:7" x14ac:dyDescent="0.2">
      <c r="A927" s="43"/>
      <c r="B927" s="43"/>
      <c r="C927" s="43"/>
      <c r="D927" s="43"/>
      <c r="E927" s="43"/>
      <c r="F927" s="43"/>
      <c r="G927" s="43"/>
    </row>
    <row r="928" spans="1:7" x14ac:dyDescent="0.2">
      <c r="A928" s="44"/>
      <c r="B928" s="44"/>
      <c r="C928" s="44"/>
      <c r="D928" s="44"/>
      <c r="E928" s="44"/>
      <c r="F928" s="44"/>
      <c r="G928" s="44"/>
    </row>
    <row r="929" spans="1:7" x14ac:dyDescent="0.2">
      <c r="A929" s="43"/>
      <c r="B929" s="43"/>
      <c r="C929" s="43"/>
      <c r="D929" s="43"/>
      <c r="E929" s="43"/>
      <c r="F929" s="43"/>
      <c r="G929" s="43"/>
    </row>
    <row r="930" spans="1:7" x14ac:dyDescent="0.2">
      <c r="A930" s="44"/>
      <c r="B930" s="44"/>
      <c r="C930" s="44"/>
      <c r="D930" s="44"/>
      <c r="E930" s="44"/>
      <c r="F930" s="44"/>
      <c r="G930" s="44"/>
    </row>
    <row r="931" spans="1:7" x14ac:dyDescent="0.2">
      <c r="A931" s="43"/>
      <c r="B931" s="43"/>
      <c r="C931" s="43"/>
      <c r="D931" s="43"/>
      <c r="E931" s="43"/>
      <c r="F931" s="43"/>
      <c r="G931" s="43"/>
    </row>
    <row r="932" spans="1:7" x14ac:dyDescent="0.2">
      <c r="A932" s="44"/>
      <c r="B932" s="44"/>
      <c r="C932" s="44"/>
      <c r="D932" s="44"/>
      <c r="E932" s="44"/>
      <c r="F932" s="44"/>
      <c r="G932" s="44"/>
    </row>
    <row r="933" spans="1:7" x14ac:dyDescent="0.2">
      <c r="A933" s="43"/>
      <c r="B933" s="43"/>
      <c r="C933" s="43"/>
      <c r="D933" s="43"/>
      <c r="E933" s="43"/>
      <c r="F933" s="43"/>
      <c r="G933" s="43"/>
    </row>
    <row r="934" spans="1:7" x14ac:dyDescent="0.2">
      <c r="A934" s="44"/>
      <c r="B934" s="44"/>
      <c r="C934" s="44"/>
      <c r="D934" s="44"/>
      <c r="E934" s="44"/>
      <c r="F934" s="44"/>
      <c r="G934" s="44"/>
    </row>
    <row r="935" spans="1:7" x14ac:dyDescent="0.2">
      <c r="A935" s="43"/>
      <c r="B935" s="43"/>
      <c r="C935" s="43"/>
      <c r="D935" s="43"/>
      <c r="E935" s="43"/>
      <c r="F935" s="43"/>
      <c r="G935" s="43"/>
    </row>
    <row r="936" spans="1:7" x14ac:dyDescent="0.2">
      <c r="A936" s="44"/>
      <c r="B936" s="44"/>
      <c r="C936" s="44"/>
      <c r="D936" s="44"/>
      <c r="E936" s="44"/>
      <c r="F936" s="44"/>
      <c r="G936" s="44"/>
    </row>
    <row r="937" spans="1:7" x14ac:dyDescent="0.2">
      <c r="A937" s="43"/>
      <c r="B937" s="43"/>
      <c r="C937" s="43"/>
      <c r="D937" s="43"/>
      <c r="E937" s="43"/>
      <c r="F937" s="43"/>
      <c r="G937" s="43"/>
    </row>
    <row r="938" spans="1:7" x14ac:dyDescent="0.2">
      <c r="A938" s="44"/>
      <c r="B938" s="44"/>
      <c r="C938" s="44"/>
      <c r="D938" s="44"/>
      <c r="E938" s="44"/>
      <c r="F938" s="44"/>
      <c r="G938" s="44"/>
    </row>
    <row r="939" spans="1:7" x14ac:dyDescent="0.2">
      <c r="A939" s="43"/>
      <c r="B939" s="43"/>
      <c r="C939" s="43"/>
      <c r="D939" s="43"/>
      <c r="E939" s="43"/>
      <c r="F939" s="43"/>
      <c r="G939" s="43"/>
    </row>
    <row r="940" spans="1:7" x14ac:dyDescent="0.2">
      <c r="A940" s="44"/>
      <c r="B940" s="44"/>
      <c r="C940" s="44"/>
      <c r="D940" s="44"/>
      <c r="E940" s="44"/>
      <c r="F940" s="44"/>
      <c r="G940" s="44"/>
    </row>
    <row r="941" spans="1:7" x14ac:dyDescent="0.2">
      <c r="A941" s="43"/>
      <c r="B941" s="43"/>
      <c r="C941" s="43"/>
      <c r="D941" s="43"/>
      <c r="E941" s="43"/>
      <c r="F941" s="43"/>
      <c r="G941" s="43"/>
    </row>
    <row r="942" spans="1:7" x14ac:dyDescent="0.2">
      <c r="A942" s="44"/>
      <c r="B942" s="44"/>
      <c r="C942" s="44"/>
      <c r="D942" s="44"/>
      <c r="E942" s="44"/>
      <c r="F942" s="44"/>
      <c r="G942" s="44"/>
    </row>
    <row r="943" spans="1:7" x14ac:dyDescent="0.2">
      <c r="A943" s="43"/>
      <c r="B943" s="43"/>
      <c r="C943" s="43"/>
      <c r="D943" s="43"/>
      <c r="E943" s="43"/>
      <c r="F943" s="43"/>
      <c r="G943" s="43"/>
    </row>
    <row r="944" spans="1:7" x14ac:dyDescent="0.2">
      <c r="A944" s="44"/>
      <c r="B944" s="44"/>
      <c r="C944" s="44"/>
      <c r="D944" s="44"/>
      <c r="E944" s="44"/>
      <c r="F944" s="44"/>
      <c r="G944" s="44"/>
    </row>
    <row r="945" spans="1:7" x14ac:dyDescent="0.2">
      <c r="A945" s="43"/>
      <c r="B945" s="43"/>
      <c r="C945" s="43"/>
      <c r="D945" s="43"/>
      <c r="E945" s="43"/>
      <c r="F945" s="43"/>
      <c r="G945" s="43"/>
    </row>
    <row r="946" spans="1:7" x14ac:dyDescent="0.2">
      <c r="A946" s="44"/>
      <c r="B946" s="44"/>
      <c r="C946" s="44"/>
      <c r="D946" s="44"/>
      <c r="E946" s="44"/>
      <c r="F946" s="44"/>
      <c r="G946" s="44"/>
    </row>
    <row r="947" spans="1:7" x14ac:dyDescent="0.2">
      <c r="A947" s="43"/>
      <c r="B947" s="43"/>
      <c r="C947" s="43"/>
      <c r="D947" s="43"/>
      <c r="E947" s="43"/>
      <c r="F947" s="43"/>
      <c r="G947" s="43"/>
    </row>
    <row r="948" spans="1:7" x14ac:dyDescent="0.2">
      <c r="A948" s="44"/>
      <c r="B948" s="44"/>
      <c r="C948" s="44"/>
      <c r="D948" s="44"/>
      <c r="E948" s="44"/>
      <c r="F948" s="44"/>
      <c r="G948" s="44"/>
    </row>
    <row r="949" spans="1:7" x14ac:dyDescent="0.2">
      <c r="A949" s="43"/>
      <c r="B949" s="43"/>
      <c r="C949" s="43"/>
      <c r="D949" s="43"/>
      <c r="E949" s="43"/>
      <c r="F949" s="43"/>
      <c r="G949" s="43"/>
    </row>
    <row r="950" spans="1:7" x14ac:dyDescent="0.2">
      <c r="A950" s="44"/>
      <c r="B950" s="44"/>
      <c r="C950" s="44"/>
      <c r="D950" s="44"/>
      <c r="E950" s="44"/>
      <c r="F950" s="44"/>
      <c r="G950" s="44"/>
    </row>
    <row r="951" spans="1:7" x14ac:dyDescent="0.2">
      <c r="A951" s="43"/>
      <c r="B951" s="43"/>
      <c r="C951" s="43"/>
      <c r="D951" s="43"/>
      <c r="E951" s="43"/>
      <c r="F951" s="43"/>
      <c r="G951" s="43"/>
    </row>
    <row r="952" spans="1:7" x14ac:dyDescent="0.2">
      <c r="A952" s="44"/>
      <c r="B952" s="44"/>
      <c r="C952" s="44"/>
      <c r="D952" s="44"/>
      <c r="E952" s="44"/>
      <c r="F952" s="44"/>
      <c r="G952" s="44"/>
    </row>
    <row r="953" spans="1:7" x14ac:dyDescent="0.2">
      <c r="A953" s="43"/>
      <c r="B953" s="43"/>
      <c r="C953" s="43"/>
      <c r="D953" s="43"/>
      <c r="E953" s="43"/>
      <c r="F953" s="43"/>
      <c r="G953" s="43"/>
    </row>
    <row r="954" spans="1:7" x14ac:dyDescent="0.2">
      <c r="A954" s="44"/>
      <c r="B954" s="44"/>
      <c r="C954" s="44"/>
      <c r="D954" s="44"/>
      <c r="E954" s="44"/>
      <c r="F954" s="44"/>
      <c r="G954" s="44"/>
    </row>
    <row r="955" spans="1:7" x14ac:dyDescent="0.2">
      <c r="A955" s="43"/>
      <c r="B955" s="43"/>
      <c r="C955" s="43"/>
      <c r="D955" s="43"/>
      <c r="E955" s="43"/>
      <c r="F955" s="43"/>
      <c r="G955" s="43"/>
    </row>
    <row r="956" spans="1:7" x14ac:dyDescent="0.2">
      <c r="A956" s="44"/>
      <c r="B956" s="44"/>
      <c r="C956" s="44"/>
      <c r="D956" s="44"/>
      <c r="E956" s="44"/>
      <c r="F956" s="44"/>
      <c r="G956" s="44"/>
    </row>
    <row r="957" spans="1:7" x14ac:dyDescent="0.2">
      <c r="A957" s="43"/>
      <c r="B957" s="43"/>
      <c r="C957" s="43"/>
      <c r="D957" s="43"/>
      <c r="E957" s="43"/>
      <c r="F957" s="43"/>
      <c r="G957" s="43"/>
    </row>
    <row r="958" spans="1:7" x14ac:dyDescent="0.2">
      <c r="A958" s="44"/>
      <c r="B958" s="44"/>
      <c r="C958" s="44"/>
      <c r="D958" s="44"/>
      <c r="E958" s="44"/>
      <c r="F958" s="44"/>
      <c r="G958" s="44"/>
    </row>
    <row r="959" spans="1:7" x14ac:dyDescent="0.2">
      <c r="A959" s="43"/>
      <c r="B959" s="43"/>
      <c r="C959" s="43"/>
      <c r="D959" s="43"/>
      <c r="E959" s="43"/>
      <c r="F959" s="43"/>
      <c r="G959" s="43"/>
    </row>
    <row r="960" spans="1:7" x14ac:dyDescent="0.2">
      <c r="A960" s="44"/>
      <c r="B960" s="44"/>
      <c r="C960" s="44"/>
      <c r="D960" s="44"/>
      <c r="E960" s="44"/>
      <c r="F960" s="44"/>
      <c r="G960" s="44"/>
    </row>
    <row r="961" spans="1:7" x14ac:dyDescent="0.2">
      <c r="A961" s="43"/>
      <c r="B961" s="43"/>
      <c r="C961" s="43"/>
      <c r="D961" s="43"/>
      <c r="E961" s="43"/>
      <c r="F961" s="43"/>
      <c r="G961" s="43"/>
    </row>
    <row r="962" spans="1:7" x14ac:dyDescent="0.2">
      <c r="A962" s="44"/>
      <c r="B962" s="44"/>
      <c r="C962" s="44"/>
      <c r="D962" s="44"/>
      <c r="E962" s="44"/>
      <c r="F962" s="44"/>
      <c r="G962" s="44"/>
    </row>
    <row r="963" spans="1:7" x14ac:dyDescent="0.2">
      <c r="A963" s="43"/>
      <c r="B963" s="43"/>
      <c r="C963" s="43"/>
      <c r="D963" s="43"/>
      <c r="E963" s="43"/>
      <c r="F963" s="43"/>
      <c r="G963" s="43"/>
    </row>
    <row r="964" spans="1:7" x14ac:dyDescent="0.2">
      <c r="A964" s="44"/>
      <c r="B964" s="44"/>
      <c r="C964" s="44"/>
      <c r="D964" s="44"/>
      <c r="E964" s="44"/>
      <c r="F964" s="44"/>
      <c r="G964" s="44"/>
    </row>
    <row r="965" spans="1:7" x14ac:dyDescent="0.2">
      <c r="A965" s="43"/>
      <c r="B965" s="43"/>
      <c r="C965" s="43"/>
      <c r="D965" s="43"/>
      <c r="E965" s="43"/>
      <c r="F965" s="43"/>
      <c r="G965" s="43"/>
    </row>
    <row r="966" spans="1:7" x14ac:dyDescent="0.2">
      <c r="A966" s="44"/>
      <c r="B966" s="44"/>
      <c r="C966" s="44"/>
      <c r="D966" s="44"/>
      <c r="E966" s="44"/>
      <c r="F966" s="44"/>
      <c r="G966" s="44"/>
    </row>
    <row r="967" spans="1:7" x14ac:dyDescent="0.2">
      <c r="A967" s="43"/>
      <c r="B967" s="43"/>
      <c r="C967" s="43"/>
      <c r="D967" s="43"/>
      <c r="E967" s="43"/>
      <c r="F967" s="43"/>
      <c r="G967" s="43"/>
    </row>
    <row r="968" spans="1:7" x14ac:dyDescent="0.2">
      <c r="A968" s="44"/>
      <c r="B968" s="44"/>
      <c r="C968" s="44"/>
      <c r="D968" s="44"/>
      <c r="E968" s="44"/>
      <c r="F968" s="44"/>
      <c r="G968" s="44"/>
    </row>
    <row r="969" spans="1:7" x14ac:dyDescent="0.2">
      <c r="A969" s="43"/>
      <c r="B969" s="43"/>
      <c r="C969" s="43"/>
      <c r="D969" s="43"/>
      <c r="E969" s="43"/>
      <c r="F969" s="43"/>
      <c r="G969" s="43"/>
    </row>
    <row r="970" spans="1:7" x14ac:dyDescent="0.2">
      <c r="A970" s="44"/>
      <c r="B970" s="44"/>
      <c r="C970" s="44"/>
      <c r="D970" s="44"/>
      <c r="E970" s="44"/>
      <c r="F970" s="44"/>
      <c r="G970" s="44"/>
    </row>
    <row r="971" spans="1:7" x14ac:dyDescent="0.2">
      <c r="A971" s="43"/>
      <c r="B971" s="43"/>
      <c r="C971" s="43"/>
      <c r="D971" s="43"/>
      <c r="E971" s="43"/>
      <c r="F971" s="43"/>
      <c r="G971" s="43"/>
    </row>
    <row r="972" spans="1:7" x14ac:dyDescent="0.2">
      <c r="A972" s="44"/>
      <c r="B972" s="44"/>
      <c r="C972" s="44"/>
      <c r="D972" s="44"/>
      <c r="E972" s="44"/>
      <c r="F972" s="44"/>
      <c r="G972" s="44"/>
    </row>
    <row r="973" spans="1:7" x14ac:dyDescent="0.2">
      <c r="A973" s="43"/>
      <c r="B973" s="43"/>
      <c r="C973" s="43"/>
      <c r="D973" s="43"/>
      <c r="E973" s="43"/>
      <c r="F973" s="43"/>
      <c r="G973" s="43"/>
    </row>
    <row r="974" spans="1:7" x14ac:dyDescent="0.2">
      <c r="A974" s="44"/>
      <c r="B974" s="44"/>
      <c r="C974" s="44"/>
      <c r="D974" s="44"/>
      <c r="E974" s="44"/>
      <c r="F974" s="44"/>
      <c r="G974" s="44"/>
    </row>
    <row r="975" spans="1:7" x14ac:dyDescent="0.2">
      <c r="A975" s="43"/>
      <c r="B975" s="43"/>
      <c r="C975" s="43"/>
      <c r="D975" s="43"/>
      <c r="E975" s="43"/>
      <c r="F975" s="43"/>
      <c r="G975" s="43"/>
    </row>
    <row r="976" spans="1:7" x14ac:dyDescent="0.2">
      <c r="A976" s="44"/>
      <c r="B976" s="44"/>
      <c r="C976" s="44"/>
      <c r="D976" s="44"/>
      <c r="E976" s="44"/>
      <c r="F976" s="44"/>
      <c r="G976" s="44"/>
    </row>
    <row r="977" spans="1:7" x14ac:dyDescent="0.2">
      <c r="A977" s="43"/>
      <c r="B977" s="43"/>
      <c r="C977" s="43"/>
      <c r="D977" s="43"/>
      <c r="E977" s="43"/>
      <c r="F977" s="43"/>
      <c r="G977" s="43"/>
    </row>
    <row r="978" spans="1:7" x14ac:dyDescent="0.2">
      <c r="A978" s="44"/>
      <c r="B978" s="44"/>
      <c r="C978" s="44"/>
      <c r="D978" s="44"/>
      <c r="E978" s="44"/>
      <c r="F978" s="44"/>
      <c r="G978" s="44"/>
    </row>
    <row r="979" spans="1:7" x14ac:dyDescent="0.2">
      <c r="A979" s="43"/>
      <c r="B979" s="43"/>
      <c r="C979" s="43"/>
      <c r="D979" s="43"/>
      <c r="E979" s="43"/>
      <c r="F979" s="43"/>
      <c r="G979" s="43"/>
    </row>
    <row r="980" spans="1:7" x14ac:dyDescent="0.2">
      <c r="A980" s="44"/>
      <c r="B980" s="44"/>
      <c r="C980" s="44"/>
      <c r="D980" s="44"/>
      <c r="E980" s="44"/>
      <c r="F980" s="44"/>
      <c r="G980" s="44"/>
    </row>
    <row r="981" spans="1:7" x14ac:dyDescent="0.2">
      <c r="A981" s="43"/>
      <c r="B981" s="43"/>
      <c r="C981" s="43"/>
      <c r="D981" s="43"/>
      <c r="E981" s="43"/>
      <c r="F981" s="43"/>
      <c r="G981" s="43"/>
    </row>
    <row r="982" spans="1:7" x14ac:dyDescent="0.2">
      <c r="A982" s="44"/>
      <c r="B982" s="44"/>
      <c r="C982" s="44"/>
      <c r="D982" s="44"/>
      <c r="E982" s="44"/>
      <c r="F982" s="44"/>
      <c r="G982" s="44"/>
    </row>
    <row r="983" spans="1:7" x14ac:dyDescent="0.2">
      <c r="A983" s="43"/>
      <c r="B983" s="43"/>
      <c r="C983" s="43"/>
      <c r="D983" s="43"/>
      <c r="E983" s="43"/>
      <c r="F983" s="43"/>
      <c r="G983" s="43"/>
    </row>
    <row r="984" spans="1:7" x14ac:dyDescent="0.2">
      <c r="A984" s="44"/>
      <c r="B984" s="44"/>
      <c r="C984" s="44"/>
      <c r="D984" s="44"/>
      <c r="E984" s="44"/>
      <c r="F984" s="44"/>
      <c r="G984" s="44"/>
    </row>
    <row r="985" spans="1:7" x14ac:dyDescent="0.2">
      <c r="A985" s="43"/>
      <c r="B985" s="43"/>
      <c r="C985" s="43"/>
      <c r="D985" s="43"/>
      <c r="E985" s="43"/>
      <c r="F985" s="43"/>
      <c r="G985" s="43"/>
    </row>
    <row r="986" spans="1:7" x14ac:dyDescent="0.2">
      <c r="A986" s="44"/>
      <c r="B986" s="44"/>
      <c r="C986" s="44"/>
      <c r="D986" s="44"/>
      <c r="E986" s="44"/>
      <c r="F986" s="44"/>
      <c r="G986" s="44"/>
    </row>
    <row r="987" spans="1:7" x14ac:dyDescent="0.2">
      <c r="A987" s="43"/>
      <c r="B987" s="43"/>
      <c r="C987" s="43"/>
      <c r="D987" s="43"/>
      <c r="E987" s="43"/>
      <c r="F987" s="43"/>
      <c r="G987" s="43"/>
    </row>
    <row r="988" spans="1:7" x14ac:dyDescent="0.2">
      <c r="A988" s="44"/>
      <c r="B988" s="44"/>
      <c r="C988" s="44"/>
      <c r="D988" s="44"/>
      <c r="E988" s="44"/>
      <c r="F988" s="44"/>
      <c r="G988" s="44"/>
    </row>
    <row r="989" spans="1:7" x14ac:dyDescent="0.2">
      <c r="A989" s="43"/>
      <c r="B989" s="43"/>
      <c r="C989" s="43"/>
      <c r="D989" s="43"/>
      <c r="E989" s="43"/>
      <c r="F989" s="43"/>
      <c r="G989" s="43"/>
    </row>
    <row r="990" spans="1:7" x14ac:dyDescent="0.2">
      <c r="A990" s="44"/>
      <c r="B990" s="44"/>
      <c r="C990" s="44"/>
      <c r="D990" s="44"/>
      <c r="E990" s="44"/>
      <c r="F990" s="44"/>
      <c r="G990" s="44"/>
    </row>
    <row r="991" spans="1:7" x14ac:dyDescent="0.2">
      <c r="A991" s="43"/>
      <c r="B991" s="43"/>
      <c r="C991" s="43"/>
      <c r="D991" s="43"/>
      <c r="E991" s="43"/>
      <c r="F991" s="43"/>
      <c r="G991" s="43"/>
    </row>
    <row r="992" spans="1:7" x14ac:dyDescent="0.2">
      <c r="A992" s="44"/>
      <c r="B992" s="44"/>
      <c r="C992" s="44"/>
      <c r="D992" s="44"/>
      <c r="E992" s="44"/>
      <c r="F992" s="44"/>
      <c r="G992" s="44"/>
    </row>
    <row r="993" spans="1:7" x14ac:dyDescent="0.2">
      <c r="A993" s="43"/>
      <c r="B993" s="43"/>
      <c r="C993" s="43"/>
      <c r="D993" s="43"/>
      <c r="E993" s="43"/>
      <c r="F993" s="43"/>
      <c r="G993" s="43"/>
    </row>
    <row r="994" spans="1:7" x14ac:dyDescent="0.2">
      <c r="A994" s="44"/>
      <c r="B994" s="44"/>
      <c r="C994" s="44"/>
      <c r="D994" s="44"/>
      <c r="E994" s="44"/>
      <c r="F994" s="44"/>
      <c r="G994" s="44"/>
    </row>
    <row r="995" spans="1:7" x14ac:dyDescent="0.2">
      <c r="A995" s="43"/>
      <c r="B995" s="43"/>
      <c r="C995" s="43"/>
      <c r="D995" s="43"/>
      <c r="E995" s="43"/>
      <c r="F995" s="43"/>
      <c r="G995" s="43"/>
    </row>
    <row r="996" spans="1:7" x14ac:dyDescent="0.2">
      <c r="A996" s="44"/>
      <c r="B996" s="44"/>
      <c r="C996" s="44"/>
      <c r="D996" s="44"/>
      <c r="E996" s="44"/>
      <c r="F996" s="44"/>
      <c r="G996" s="44"/>
    </row>
    <row r="997" spans="1:7" x14ac:dyDescent="0.2">
      <c r="A997" s="43"/>
      <c r="B997" s="43"/>
      <c r="C997" s="43"/>
      <c r="D997" s="43"/>
      <c r="E997" s="43"/>
      <c r="F997" s="43"/>
      <c r="G997" s="43"/>
    </row>
    <row r="998" spans="1:7" x14ac:dyDescent="0.2">
      <c r="A998" s="44"/>
      <c r="B998" s="44"/>
      <c r="C998" s="44"/>
      <c r="D998" s="44"/>
      <c r="E998" s="44"/>
      <c r="F998" s="44"/>
      <c r="G998" s="44"/>
    </row>
    <row r="999" spans="1:7" x14ac:dyDescent="0.2">
      <c r="A999" s="43"/>
      <c r="B999" s="43"/>
      <c r="C999" s="43"/>
      <c r="D999" s="43"/>
      <c r="E999" s="43"/>
      <c r="F999" s="43"/>
      <c r="G999" s="43"/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F993"/>
  <sheetViews>
    <sheetView workbookViewId="0">
      <selection activeCell="J9" sqref="J9"/>
    </sheetView>
  </sheetViews>
  <sheetFormatPr baseColWidth="10" defaultColWidth="8.6640625" defaultRowHeight="15" x14ac:dyDescent="0.2"/>
  <cols>
    <col min="1" max="1" width="12.83203125" style="41" bestFit="1" customWidth="1"/>
    <col min="2" max="28" width="8.6640625" style="41"/>
    <col min="29" max="29" width="9.1640625" style="41" bestFit="1" customWidth="1"/>
    <col min="30" max="16384" width="8.6640625" style="41"/>
  </cols>
  <sheetData>
    <row r="1" spans="1:32" x14ac:dyDescent="0.2">
      <c r="A1" s="40" t="s">
        <v>105</v>
      </c>
      <c r="B1" s="40" t="s">
        <v>85</v>
      </c>
      <c r="G1" s="42" t="s">
        <v>111</v>
      </c>
    </row>
    <row r="3" spans="1:32" x14ac:dyDescent="0.2">
      <c r="A3" s="42" t="s">
        <v>106</v>
      </c>
    </row>
    <row r="4" spans="1:32" x14ac:dyDescent="0.2">
      <c r="A4" s="43" t="s">
        <v>86</v>
      </c>
      <c r="B4" s="43" t="s">
        <v>112</v>
      </c>
      <c r="C4" s="43" t="s">
        <v>113</v>
      </c>
      <c r="D4" s="43" t="s">
        <v>114</v>
      </c>
      <c r="E4" s="43"/>
      <c r="F4" s="43"/>
      <c r="G4" s="43"/>
      <c r="H4" s="43"/>
      <c r="I4" s="43"/>
      <c r="J4" s="43"/>
      <c r="K4" s="43"/>
      <c r="L4" s="43"/>
    </row>
    <row r="5" spans="1:32" x14ac:dyDescent="0.2">
      <c r="A5" s="42" t="s">
        <v>107</v>
      </c>
    </row>
    <row r="6" spans="1:32" x14ac:dyDescent="0.2">
      <c r="A6" s="45" t="s">
        <v>108</v>
      </c>
      <c r="B6" s="44"/>
      <c r="C6" s="44" t="s">
        <v>110</v>
      </c>
      <c r="D6" s="44"/>
      <c r="E6" s="44"/>
      <c r="F6" s="44"/>
      <c r="G6" s="44"/>
      <c r="H6" s="44"/>
      <c r="I6" s="44"/>
      <c r="J6" s="44"/>
      <c r="K6" s="44"/>
      <c r="L6" s="44"/>
    </row>
    <row r="7" spans="1:32" x14ac:dyDescent="0.2">
      <c r="W7" s="41">
        <v>2018</v>
      </c>
      <c r="Z7" s="41">
        <v>2008</v>
      </c>
      <c r="AE7" s="41">
        <v>2008</v>
      </c>
    </row>
    <row r="8" spans="1:32" x14ac:dyDescent="0.2">
      <c r="A8" s="40" t="s">
        <v>86</v>
      </c>
      <c r="B8" s="40" t="s">
        <v>112</v>
      </c>
      <c r="C8" s="40" t="s">
        <v>113</v>
      </c>
      <c r="D8" s="40" t="s">
        <v>114</v>
      </c>
      <c r="E8" s="40" t="s">
        <v>85</v>
      </c>
      <c r="F8" s="40" t="s">
        <v>108</v>
      </c>
      <c r="G8" s="40" t="s">
        <v>110</v>
      </c>
      <c r="J8" s="42" t="s">
        <v>115</v>
      </c>
      <c r="Q8" s="41">
        <v>2634839</v>
      </c>
      <c r="R8" s="41">
        <f>Q8*0.2</f>
        <v>526967.80000000005</v>
      </c>
      <c r="W8" s="41" t="s">
        <v>44</v>
      </c>
      <c r="X8" s="41" t="s">
        <v>43</v>
      </c>
      <c r="Y8" s="41" t="s">
        <v>237</v>
      </c>
      <c r="Z8" s="41" t="s">
        <v>238</v>
      </c>
      <c r="AA8" s="41">
        <v>486695</v>
      </c>
      <c r="AC8" s="41" t="s">
        <v>253</v>
      </c>
      <c r="AD8" s="41" t="s">
        <v>238</v>
      </c>
      <c r="AE8" s="41">
        <v>474912</v>
      </c>
    </row>
    <row r="9" spans="1:32" x14ac:dyDescent="0.2">
      <c r="A9" s="44">
        <v>2018</v>
      </c>
      <c r="B9" s="44" t="s">
        <v>351</v>
      </c>
      <c r="C9" s="44" t="s">
        <v>43</v>
      </c>
      <c r="D9" s="44" t="s">
        <v>197</v>
      </c>
      <c r="E9" s="44">
        <v>1286435</v>
      </c>
      <c r="F9" s="44"/>
      <c r="G9" s="44">
        <v>257287</v>
      </c>
      <c r="J9" s="42"/>
      <c r="O9" s="41">
        <f t="shared" ref="O9:O22" si="0">ROUND(0.2*E9,0)</f>
        <v>257287</v>
      </c>
      <c r="Q9" s="41">
        <v>2559246</v>
      </c>
      <c r="R9" s="41">
        <f t="shared" ref="R9:R72" si="1">Q9*0.2</f>
        <v>511849.2</v>
      </c>
      <c r="U9" s="41" t="s">
        <v>217</v>
      </c>
      <c r="W9" s="41">
        <v>1265971</v>
      </c>
      <c r="X9" s="41">
        <v>1286435</v>
      </c>
      <c r="Y9" s="41" t="s">
        <v>239</v>
      </c>
      <c r="Z9" s="41" t="s">
        <v>238</v>
      </c>
      <c r="AA9" s="41">
        <f>944488+AA8</f>
        <v>1431183</v>
      </c>
      <c r="AC9" s="41" t="s">
        <v>254</v>
      </c>
      <c r="AD9" s="41" t="s">
        <v>238</v>
      </c>
      <c r="AE9" s="41">
        <v>1397050</v>
      </c>
    </row>
    <row r="10" spans="1:32" x14ac:dyDescent="0.2">
      <c r="A10" s="43">
        <v>2018</v>
      </c>
      <c r="B10" s="44" t="s">
        <v>351</v>
      </c>
      <c r="C10" s="43" t="s">
        <v>43</v>
      </c>
      <c r="D10" s="43" t="s">
        <v>125</v>
      </c>
      <c r="E10" s="43">
        <v>1333916</v>
      </c>
      <c r="F10" s="43"/>
      <c r="G10" s="43">
        <v>266783</v>
      </c>
      <c r="O10" s="41">
        <f t="shared" si="0"/>
        <v>266783</v>
      </c>
      <c r="Q10" s="41">
        <v>2582620</v>
      </c>
      <c r="R10" s="41">
        <f t="shared" si="1"/>
        <v>516524</v>
      </c>
      <c r="U10" s="41" t="s">
        <v>218</v>
      </c>
      <c r="W10" s="41">
        <v>1298962</v>
      </c>
      <c r="X10" s="41">
        <v>1333916</v>
      </c>
      <c r="Y10" s="41" t="s">
        <v>240</v>
      </c>
      <c r="Z10" s="41" t="s">
        <v>238</v>
      </c>
      <c r="AA10" s="41">
        <v>995992</v>
      </c>
      <c r="AB10" s="41">
        <f>AA9/AA10</f>
        <v>1.4369422645965029</v>
      </c>
      <c r="AC10" s="41" t="s">
        <v>255</v>
      </c>
      <c r="AD10" s="41" t="s">
        <v>238</v>
      </c>
      <c r="AE10" s="41">
        <v>972307</v>
      </c>
      <c r="AF10" s="41">
        <f>AE9/AE10</f>
        <v>1.4368404218009332</v>
      </c>
    </row>
    <row r="11" spans="1:32" x14ac:dyDescent="0.2">
      <c r="A11" s="44">
        <v>2018</v>
      </c>
      <c r="B11" s="44" t="s">
        <v>351</v>
      </c>
      <c r="C11" s="44" t="s">
        <v>43</v>
      </c>
      <c r="D11" s="44" t="s">
        <v>126</v>
      </c>
      <c r="E11" s="44">
        <v>1286091</v>
      </c>
      <c r="F11" s="44"/>
      <c r="G11" s="44">
        <v>257218</v>
      </c>
      <c r="O11" s="41">
        <f t="shared" si="0"/>
        <v>257218</v>
      </c>
      <c r="Q11" s="41">
        <v>2546968</v>
      </c>
      <c r="R11" s="41">
        <f t="shared" si="1"/>
        <v>509393.60000000003</v>
      </c>
      <c r="U11" s="41" t="s">
        <v>219</v>
      </c>
      <c r="W11" s="41">
        <v>1247212</v>
      </c>
      <c r="X11" s="41">
        <v>1286091</v>
      </c>
      <c r="Y11" s="41" t="s">
        <v>241</v>
      </c>
      <c r="Z11" s="41" t="s">
        <v>238</v>
      </c>
      <c r="AA11" s="41">
        <v>844315</v>
      </c>
      <c r="AC11" s="41" t="s">
        <v>256</v>
      </c>
      <c r="AD11" s="41" t="s">
        <v>238</v>
      </c>
      <c r="AE11" s="41">
        <v>826076</v>
      </c>
    </row>
    <row r="12" spans="1:32" x14ac:dyDescent="0.2">
      <c r="A12" s="43">
        <v>2018</v>
      </c>
      <c r="B12" s="44" t="s">
        <v>351</v>
      </c>
      <c r="C12" s="43" t="s">
        <v>43</v>
      </c>
      <c r="D12" s="43" t="s">
        <v>117</v>
      </c>
      <c r="E12" s="43">
        <v>1031165</v>
      </c>
      <c r="F12" s="43"/>
      <c r="G12" s="43">
        <v>206233</v>
      </c>
      <c r="O12" s="41">
        <f t="shared" si="0"/>
        <v>206233</v>
      </c>
      <c r="Q12" s="41">
        <v>2348165</v>
      </c>
      <c r="R12" s="41">
        <f t="shared" si="1"/>
        <v>469633</v>
      </c>
      <c r="U12" s="41" t="s">
        <v>220</v>
      </c>
      <c r="W12" s="41">
        <v>1004780</v>
      </c>
      <c r="X12" s="41">
        <v>1031165</v>
      </c>
      <c r="Y12" s="41" t="s">
        <v>242</v>
      </c>
      <c r="Z12" s="41" t="s">
        <v>238</v>
      </c>
      <c r="AA12" s="41">
        <v>651028</v>
      </c>
      <c r="AC12" s="41" t="s">
        <v>257</v>
      </c>
      <c r="AD12" s="41" t="s">
        <v>238</v>
      </c>
      <c r="AE12" s="41">
        <v>625664</v>
      </c>
    </row>
    <row r="13" spans="1:32" x14ac:dyDescent="0.2">
      <c r="A13" s="44">
        <v>2018</v>
      </c>
      <c r="B13" s="44" t="s">
        <v>351</v>
      </c>
      <c r="C13" s="44" t="s">
        <v>43</v>
      </c>
      <c r="D13" s="44" t="s">
        <v>118</v>
      </c>
      <c r="E13" s="44">
        <v>873999</v>
      </c>
      <c r="F13" s="44"/>
      <c r="G13" s="44">
        <v>174800</v>
      </c>
      <c r="O13" s="41">
        <f t="shared" si="0"/>
        <v>174800</v>
      </c>
      <c r="Q13" s="41">
        <v>2069939</v>
      </c>
      <c r="R13" s="41">
        <f t="shared" si="1"/>
        <v>413987.80000000005</v>
      </c>
      <c r="U13" s="41" t="s">
        <v>221</v>
      </c>
      <c r="W13" s="41">
        <v>777577</v>
      </c>
      <c r="X13" s="41">
        <v>873999</v>
      </c>
      <c r="Y13" s="41" t="s">
        <v>243</v>
      </c>
      <c r="Z13" s="41" t="s">
        <v>238</v>
      </c>
      <c r="AA13" s="41">
        <v>685530</v>
      </c>
      <c r="AC13" s="41" t="s">
        <v>258</v>
      </c>
      <c r="AD13" s="41" t="s">
        <v>238</v>
      </c>
      <c r="AE13" s="41">
        <v>554799</v>
      </c>
    </row>
    <row r="14" spans="1:32" x14ac:dyDescent="0.2">
      <c r="A14" s="43">
        <v>2018</v>
      </c>
      <c r="B14" s="44" t="s">
        <v>351</v>
      </c>
      <c r="C14" s="43" t="s">
        <v>43</v>
      </c>
      <c r="D14" s="43" t="s">
        <v>119</v>
      </c>
      <c r="E14" s="43">
        <v>646545</v>
      </c>
      <c r="F14" s="43"/>
      <c r="G14" s="43">
        <v>129309</v>
      </c>
      <c r="O14" s="41">
        <f t="shared" si="0"/>
        <v>129309</v>
      </c>
      <c r="Q14" s="41">
        <v>1759391</v>
      </c>
      <c r="R14" s="41">
        <f t="shared" si="1"/>
        <v>351878.2</v>
      </c>
      <c r="U14" s="41" t="s">
        <v>222</v>
      </c>
      <c r="W14" s="41">
        <v>582866</v>
      </c>
      <c r="X14" s="41">
        <v>646545</v>
      </c>
      <c r="Y14" s="41" t="s">
        <v>244</v>
      </c>
      <c r="Z14" s="41" t="s">
        <v>238</v>
      </c>
      <c r="AA14" s="41">
        <v>572873</v>
      </c>
      <c r="AC14" s="41" t="s">
        <v>259</v>
      </c>
      <c r="AD14" s="41" t="s">
        <v>238</v>
      </c>
      <c r="AE14" s="41">
        <v>530103</v>
      </c>
    </row>
    <row r="15" spans="1:32" x14ac:dyDescent="0.2">
      <c r="A15" s="44">
        <v>2018</v>
      </c>
      <c r="B15" s="44" t="s">
        <v>351</v>
      </c>
      <c r="C15" s="44" t="s">
        <v>43</v>
      </c>
      <c r="D15" s="44" t="s">
        <v>120</v>
      </c>
      <c r="E15" s="44">
        <v>590721</v>
      </c>
      <c r="F15" s="44"/>
      <c r="G15" s="44">
        <v>118144</v>
      </c>
      <c r="O15" s="41">
        <f t="shared" si="0"/>
        <v>118144</v>
      </c>
      <c r="Q15" s="41">
        <v>1488894</v>
      </c>
      <c r="R15" s="41">
        <f t="shared" si="1"/>
        <v>297778.8</v>
      </c>
      <c r="U15" s="41" t="s">
        <v>223</v>
      </c>
      <c r="W15" s="41">
        <v>516505</v>
      </c>
      <c r="X15" s="41">
        <v>590721</v>
      </c>
      <c r="Y15" s="41" t="s">
        <v>245</v>
      </c>
      <c r="Z15" s="41" t="s">
        <v>238</v>
      </c>
      <c r="AA15" s="41">
        <v>409948</v>
      </c>
      <c r="AC15" s="41" t="s">
        <v>260</v>
      </c>
      <c r="AD15" s="41" t="s">
        <v>238</v>
      </c>
      <c r="AE15" s="41">
        <v>417599</v>
      </c>
    </row>
    <row r="16" spans="1:32" x14ac:dyDescent="0.2">
      <c r="A16" s="43">
        <v>2018</v>
      </c>
      <c r="B16" s="44" t="s">
        <v>351</v>
      </c>
      <c r="C16" s="43" t="s">
        <v>43</v>
      </c>
      <c r="D16" s="43" t="s">
        <v>121</v>
      </c>
      <c r="E16" s="43">
        <v>500810</v>
      </c>
      <c r="F16" s="43"/>
      <c r="G16" s="43">
        <v>100162</v>
      </c>
      <c r="O16" s="41">
        <f t="shared" si="0"/>
        <v>100162</v>
      </c>
      <c r="Q16" s="41">
        <v>1270053</v>
      </c>
      <c r="R16" s="41">
        <f t="shared" si="1"/>
        <v>254010.6</v>
      </c>
      <c r="U16" s="41" t="s">
        <v>224</v>
      </c>
      <c r="W16" s="41">
        <v>468188</v>
      </c>
      <c r="X16" s="41">
        <v>500810</v>
      </c>
      <c r="Y16" s="41" t="s">
        <v>246</v>
      </c>
      <c r="Z16" s="41" t="s">
        <v>238</v>
      </c>
      <c r="AA16" s="41">
        <v>299687</v>
      </c>
      <c r="AC16" s="41" t="s">
        <v>261</v>
      </c>
      <c r="AD16" s="41" t="s">
        <v>238</v>
      </c>
      <c r="AE16" s="41">
        <v>323643</v>
      </c>
    </row>
    <row r="17" spans="1:31" x14ac:dyDescent="0.2">
      <c r="A17" s="44">
        <v>2018</v>
      </c>
      <c r="B17" s="44" t="s">
        <v>351</v>
      </c>
      <c r="C17" s="44" t="s">
        <v>43</v>
      </c>
      <c r="D17" s="44" t="s">
        <v>122</v>
      </c>
      <c r="E17" s="44">
        <v>362429</v>
      </c>
      <c r="F17" s="44"/>
      <c r="G17" s="44">
        <v>72486</v>
      </c>
      <c r="O17" s="41">
        <f t="shared" si="0"/>
        <v>72486</v>
      </c>
      <c r="Q17" s="41">
        <v>1077752</v>
      </c>
      <c r="R17" s="41">
        <f t="shared" si="1"/>
        <v>215550.40000000002</v>
      </c>
      <c r="U17" s="41" t="s">
        <v>225</v>
      </c>
      <c r="W17" s="41">
        <v>367171</v>
      </c>
      <c r="X17" s="41">
        <v>362429</v>
      </c>
      <c r="Y17" s="41" t="s">
        <v>247</v>
      </c>
      <c r="Z17" s="41" t="s">
        <v>238</v>
      </c>
      <c r="AA17" s="41">
        <v>222685</v>
      </c>
      <c r="AC17" s="41" t="s">
        <v>262</v>
      </c>
      <c r="AD17" s="41" t="s">
        <v>238</v>
      </c>
      <c r="AE17" s="41">
        <v>218546</v>
      </c>
    </row>
    <row r="18" spans="1:31" x14ac:dyDescent="0.2">
      <c r="A18" s="43">
        <v>2018</v>
      </c>
      <c r="B18" s="44" t="s">
        <v>351</v>
      </c>
      <c r="C18" s="43" t="s">
        <v>43</v>
      </c>
      <c r="D18" s="43" t="s">
        <v>123</v>
      </c>
      <c r="E18" s="43">
        <v>262119</v>
      </c>
      <c r="F18" s="43"/>
      <c r="G18" s="43">
        <v>52424</v>
      </c>
      <c r="O18" s="41">
        <f t="shared" si="0"/>
        <v>52424</v>
      </c>
      <c r="Q18" s="41">
        <v>831061</v>
      </c>
      <c r="R18" s="41">
        <f t="shared" si="1"/>
        <v>166212.20000000001</v>
      </c>
      <c r="U18" s="41" t="s">
        <v>226</v>
      </c>
      <c r="W18" s="41">
        <v>273749</v>
      </c>
      <c r="X18" s="41">
        <v>262119</v>
      </c>
      <c r="Y18" s="41" t="s">
        <v>248</v>
      </c>
      <c r="Z18" s="41" t="s">
        <v>238</v>
      </c>
      <c r="AA18" s="41">
        <v>175905</v>
      </c>
      <c r="AC18" s="41" t="s">
        <v>263</v>
      </c>
      <c r="AD18" s="41" t="s">
        <v>238</v>
      </c>
      <c r="AE18" s="41">
        <v>167285</v>
      </c>
    </row>
    <row r="19" spans="1:31" x14ac:dyDescent="0.2">
      <c r="A19" s="44">
        <v>2018</v>
      </c>
      <c r="B19" s="44" t="s">
        <v>351</v>
      </c>
      <c r="C19" s="44" t="s">
        <v>43</v>
      </c>
      <c r="D19" s="44" t="s">
        <v>124</v>
      </c>
      <c r="E19" s="44">
        <v>199412</v>
      </c>
      <c r="F19" s="44"/>
      <c r="G19" s="44">
        <v>39882</v>
      </c>
      <c r="O19" s="41">
        <f t="shared" si="0"/>
        <v>39882</v>
      </c>
      <c r="Q19" s="41">
        <v>636945</v>
      </c>
      <c r="R19" s="41">
        <f t="shared" si="1"/>
        <v>127389</v>
      </c>
      <c r="U19" s="41" t="s">
        <v>227</v>
      </c>
      <c r="W19" s="41">
        <v>188400</v>
      </c>
      <c r="X19" s="41">
        <v>199412</v>
      </c>
      <c r="Y19" s="41" t="s">
        <v>249</v>
      </c>
      <c r="Z19" s="41" t="s">
        <v>238</v>
      </c>
      <c r="AA19" s="41">
        <v>142856</v>
      </c>
      <c r="AC19" s="41" t="s">
        <v>264</v>
      </c>
      <c r="AD19" s="41" t="s">
        <v>238</v>
      </c>
      <c r="AE19" s="41">
        <v>126778</v>
      </c>
    </row>
    <row r="20" spans="1:31" x14ac:dyDescent="0.2">
      <c r="A20" s="43">
        <v>2018</v>
      </c>
      <c r="B20" s="44" t="s">
        <v>351</v>
      </c>
      <c r="C20" s="43" t="s">
        <v>43</v>
      </c>
      <c r="D20" s="43" t="s">
        <v>127</v>
      </c>
      <c r="E20" s="43">
        <v>162875</v>
      </c>
      <c r="F20" s="43">
        <v>0.1</v>
      </c>
      <c r="G20" s="43">
        <v>32575</v>
      </c>
      <c r="J20" s="41" t="s">
        <v>211</v>
      </c>
      <c r="O20" s="41">
        <f t="shared" si="0"/>
        <v>32575</v>
      </c>
      <c r="Q20" s="41">
        <v>2587465</v>
      </c>
      <c r="R20" s="41">
        <f t="shared" si="1"/>
        <v>517493</v>
      </c>
      <c r="U20" s="41" t="s">
        <v>228</v>
      </c>
      <c r="W20" s="41">
        <v>144046</v>
      </c>
      <c r="X20" s="41">
        <v>162875</v>
      </c>
      <c r="Y20" s="41" t="s">
        <v>250</v>
      </c>
      <c r="Z20" s="41" t="s">
        <v>238</v>
      </c>
      <c r="AA20" s="41">
        <v>135598</v>
      </c>
      <c r="AC20" s="41" t="s">
        <v>265</v>
      </c>
      <c r="AD20" s="41" t="s">
        <v>238</v>
      </c>
      <c r="AE20" s="41">
        <v>122616</v>
      </c>
    </row>
    <row r="21" spans="1:31" x14ac:dyDescent="0.2">
      <c r="A21" s="44">
        <v>2018</v>
      </c>
      <c r="B21" s="44" t="s">
        <v>351</v>
      </c>
      <c r="C21" s="44" t="s">
        <v>43</v>
      </c>
      <c r="D21" s="44" t="s">
        <v>215</v>
      </c>
      <c r="E21" s="44">
        <v>127098</v>
      </c>
      <c r="F21" s="44">
        <v>0.1</v>
      </c>
      <c r="G21" s="44">
        <v>25420</v>
      </c>
      <c r="O21" s="41">
        <f t="shared" si="0"/>
        <v>25420</v>
      </c>
      <c r="Q21" s="41">
        <v>2523770</v>
      </c>
      <c r="R21" s="41">
        <f t="shared" si="1"/>
        <v>504754</v>
      </c>
      <c r="U21" s="41" t="s">
        <v>229</v>
      </c>
      <c r="W21" s="41">
        <v>107820</v>
      </c>
      <c r="X21" s="41">
        <v>127098</v>
      </c>
      <c r="Y21" s="41" t="s">
        <v>251</v>
      </c>
      <c r="Z21" s="41" t="s">
        <v>238</v>
      </c>
      <c r="AA21" s="41">
        <v>97671</v>
      </c>
      <c r="AC21" s="41" t="s">
        <v>266</v>
      </c>
      <c r="AD21" s="41" t="s">
        <v>238</v>
      </c>
      <c r="AE21" s="41">
        <v>87008</v>
      </c>
    </row>
    <row r="22" spans="1:31" x14ac:dyDescent="0.2">
      <c r="A22" s="43">
        <v>2018</v>
      </c>
      <c r="B22" s="44" t="s">
        <v>351</v>
      </c>
      <c r="C22" s="43" t="s">
        <v>43</v>
      </c>
      <c r="D22" s="43" t="s">
        <v>216</v>
      </c>
      <c r="E22" s="43">
        <v>132640</v>
      </c>
      <c r="F22" s="43">
        <v>0.1</v>
      </c>
      <c r="G22" s="43">
        <v>26528</v>
      </c>
      <c r="O22" s="41">
        <f t="shared" si="0"/>
        <v>26528</v>
      </c>
      <c r="Q22" s="41">
        <v>2557891</v>
      </c>
      <c r="R22" s="41">
        <f t="shared" si="1"/>
        <v>511578.2</v>
      </c>
      <c r="U22" s="41" t="s">
        <v>230</v>
      </c>
      <c r="W22" s="41">
        <v>107911</v>
      </c>
      <c r="X22" s="41">
        <v>132640</v>
      </c>
      <c r="Y22" s="41" t="s">
        <v>252</v>
      </c>
      <c r="Z22" s="41" t="s">
        <v>238</v>
      </c>
      <c r="AA22" s="41">
        <v>81791</v>
      </c>
      <c r="AC22" s="41" t="s">
        <v>267</v>
      </c>
      <c r="AD22" s="41" t="s">
        <v>238</v>
      </c>
      <c r="AE22" s="41">
        <v>72038</v>
      </c>
    </row>
    <row r="23" spans="1:31" x14ac:dyDescent="0.2">
      <c r="A23" s="44">
        <v>2018</v>
      </c>
      <c r="B23" s="44" t="s">
        <v>351</v>
      </c>
      <c r="C23" s="44" t="s">
        <v>44</v>
      </c>
      <c r="D23" s="44" t="s">
        <v>197</v>
      </c>
      <c r="E23" s="44">
        <v>1265971</v>
      </c>
      <c r="F23" s="44"/>
      <c r="G23" s="44">
        <v>253194</v>
      </c>
      <c r="O23" s="41" t="e">
        <f>ROUND(0.2*#REF!,0)</f>
        <v>#REF!</v>
      </c>
      <c r="Q23" s="41">
        <v>2527828</v>
      </c>
      <c r="R23" s="41">
        <f t="shared" si="1"/>
        <v>505565.60000000003</v>
      </c>
      <c r="U23" s="41" t="s">
        <v>231</v>
      </c>
      <c r="W23" s="41">
        <v>63805</v>
      </c>
      <c r="X23" s="41">
        <v>80983</v>
      </c>
    </row>
    <row r="24" spans="1:31" x14ac:dyDescent="0.2">
      <c r="A24" s="43">
        <v>2018</v>
      </c>
      <c r="B24" s="44" t="s">
        <v>351</v>
      </c>
      <c r="C24" s="43" t="s">
        <v>44</v>
      </c>
      <c r="D24" s="43" t="s">
        <v>125</v>
      </c>
      <c r="E24" s="43">
        <v>1298962</v>
      </c>
      <c r="F24" s="43"/>
      <c r="G24" s="43">
        <v>259792</v>
      </c>
      <c r="O24" s="41">
        <f t="shared" ref="O24:O37" si="2">ROUND(0.2*E23,0)</f>
        <v>253194</v>
      </c>
      <c r="Q24" s="41">
        <v>2323512</v>
      </c>
      <c r="R24" s="41">
        <f t="shared" si="1"/>
        <v>464702.4</v>
      </c>
      <c r="U24" s="41" t="s">
        <v>232</v>
      </c>
      <c r="W24" s="41">
        <v>51598</v>
      </c>
      <c r="X24" s="41">
        <v>73120</v>
      </c>
    </row>
    <row r="25" spans="1:31" x14ac:dyDescent="0.2">
      <c r="A25" s="44">
        <v>2018</v>
      </c>
      <c r="B25" s="44" t="s">
        <v>351</v>
      </c>
      <c r="C25" s="44" t="s">
        <v>44</v>
      </c>
      <c r="D25" s="44" t="s">
        <v>126</v>
      </c>
      <c r="E25" s="44">
        <v>1247212</v>
      </c>
      <c r="F25" s="44"/>
      <c r="G25" s="44">
        <v>249442</v>
      </c>
      <c r="O25" s="41">
        <f t="shared" si="2"/>
        <v>259792</v>
      </c>
      <c r="Q25" s="41">
        <v>2064262</v>
      </c>
      <c r="R25" s="41">
        <f t="shared" si="1"/>
        <v>412852.4</v>
      </c>
      <c r="U25" s="41" t="s">
        <v>233</v>
      </c>
      <c r="W25" s="41">
        <v>24130</v>
      </c>
      <c r="X25" s="41">
        <v>39545</v>
      </c>
    </row>
    <row r="26" spans="1:31" x14ac:dyDescent="0.2">
      <c r="A26" s="43">
        <v>2018</v>
      </c>
      <c r="B26" s="44" t="s">
        <v>351</v>
      </c>
      <c r="C26" s="43" t="s">
        <v>44</v>
      </c>
      <c r="D26" s="43" t="s">
        <v>117</v>
      </c>
      <c r="E26" s="43">
        <v>1004780</v>
      </c>
      <c r="F26" s="43"/>
      <c r="G26" s="43">
        <v>200956</v>
      </c>
      <c r="O26" s="41">
        <f t="shared" si="2"/>
        <v>249442</v>
      </c>
      <c r="Q26" s="41">
        <v>1807453</v>
      </c>
      <c r="R26" s="41">
        <f t="shared" si="1"/>
        <v>361490.60000000003</v>
      </c>
      <c r="U26" s="41" t="s">
        <v>234</v>
      </c>
      <c r="W26" s="41">
        <v>20751</v>
      </c>
      <c r="X26" s="41">
        <v>34003</v>
      </c>
    </row>
    <row r="27" spans="1:31" x14ac:dyDescent="0.2">
      <c r="A27" s="44">
        <v>2018</v>
      </c>
      <c r="B27" s="44" t="s">
        <v>351</v>
      </c>
      <c r="C27" s="44" t="s">
        <v>44</v>
      </c>
      <c r="D27" s="44" t="s">
        <v>118</v>
      </c>
      <c r="E27" s="44">
        <v>777577</v>
      </c>
      <c r="F27" s="44"/>
      <c r="G27" s="44">
        <v>155515</v>
      </c>
      <c r="J27" s="41" t="s">
        <v>211</v>
      </c>
      <c r="O27" s="41">
        <f t="shared" si="2"/>
        <v>200956</v>
      </c>
      <c r="Q27" s="41">
        <v>1577255</v>
      </c>
      <c r="R27" s="41">
        <f t="shared" si="1"/>
        <v>315451</v>
      </c>
      <c r="U27" s="41" t="s">
        <v>235</v>
      </c>
      <c r="W27" s="41">
        <v>5245</v>
      </c>
      <c r="X27" s="41">
        <v>9885</v>
      </c>
    </row>
    <row r="28" spans="1:31" x14ac:dyDescent="0.2">
      <c r="A28" s="43">
        <v>2018</v>
      </c>
      <c r="B28" s="44" t="s">
        <v>351</v>
      </c>
      <c r="C28" s="43" t="s">
        <v>44</v>
      </c>
      <c r="D28" s="43" t="s">
        <v>119</v>
      </c>
      <c r="E28" s="43">
        <v>582866</v>
      </c>
      <c r="F28" s="43"/>
      <c r="G28" s="43">
        <v>116573</v>
      </c>
      <c r="O28" s="41">
        <f t="shared" si="2"/>
        <v>155515</v>
      </c>
      <c r="Q28" s="41">
        <v>1370835</v>
      </c>
      <c r="R28" s="41">
        <f t="shared" si="1"/>
        <v>274167</v>
      </c>
      <c r="U28" s="41" t="s">
        <v>236</v>
      </c>
      <c r="W28" s="41">
        <v>4773</v>
      </c>
      <c r="X28" s="41">
        <v>8498</v>
      </c>
      <c r="AD28" s="41" t="s">
        <v>211</v>
      </c>
    </row>
    <row r="29" spans="1:31" x14ac:dyDescent="0.2">
      <c r="A29" s="44">
        <v>2018</v>
      </c>
      <c r="B29" s="44" t="s">
        <v>351</v>
      </c>
      <c r="C29" s="44" t="s">
        <v>44</v>
      </c>
      <c r="D29" s="44" t="s">
        <v>120</v>
      </c>
      <c r="E29" s="44">
        <v>516505</v>
      </c>
      <c r="F29" s="44"/>
      <c r="G29" s="44">
        <v>103301</v>
      </c>
      <c r="O29" s="41">
        <f t="shared" si="2"/>
        <v>116573</v>
      </c>
      <c r="Q29" s="41">
        <v>1184477</v>
      </c>
      <c r="R29" s="41">
        <f t="shared" si="1"/>
        <v>236895.40000000002</v>
      </c>
    </row>
    <row r="30" spans="1:31" x14ac:dyDescent="0.2">
      <c r="A30" s="43">
        <v>2018</v>
      </c>
      <c r="B30" s="44" t="s">
        <v>351</v>
      </c>
      <c r="C30" s="43" t="s">
        <v>44</v>
      </c>
      <c r="D30" s="43" t="s">
        <v>121</v>
      </c>
      <c r="E30" s="43">
        <v>468188</v>
      </c>
      <c r="F30" s="43"/>
      <c r="G30" s="43">
        <v>93638</v>
      </c>
      <c r="O30" s="41">
        <f t="shared" si="2"/>
        <v>103301</v>
      </c>
      <c r="Q30" s="41">
        <v>924873</v>
      </c>
      <c r="R30" s="41">
        <f t="shared" si="1"/>
        <v>184974.6</v>
      </c>
      <c r="U30" s="41" t="s">
        <v>322</v>
      </c>
      <c r="W30" s="46"/>
      <c r="X30" s="46"/>
      <c r="Y30" s="47"/>
    </row>
    <row r="31" spans="1:31" x14ac:dyDescent="0.2">
      <c r="A31" s="44">
        <v>2018</v>
      </c>
      <c r="B31" s="44" t="s">
        <v>351</v>
      </c>
      <c r="C31" s="44" t="s">
        <v>44</v>
      </c>
      <c r="D31" s="44" t="s">
        <v>122</v>
      </c>
      <c r="E31" s="44">
        <v>367171</v>
      </c>
      <c r="F31" s="44"/>
      <c r="G31" s="44">
        <v>73434</v>
      </c>
      <c r="O31" s="41">
        <f t="shared" si="2"/>
        <v>93638</v>
      </c>
      <c r="Q31" s="41">
        <v>727478</v>
      </c>
      <c r="R31" s="41">
        <f t="shared" si="1"/>
        <v>145495.6</v>
      </c>
      <c r="W31" s="46"/>
      <c r="X31" s="46"/>
      <c r="Y31" s="47"/>
    </row>
    <row r="32" spans="1:31" x14ac:dyDescent="0.2">
      <c r="A32" s="43">
        <v>2018</v>
      </c>
      <c r="B32" s="44" t="s">
        <v>351</v>
      </c>
      <c r="C32" s="43" t="s">
        <v>44</v>
      </c>
      <c r="D32" s="43" t="s">
        <v>123</v>
      </c>
      <c r="E32" s="43">
        <v>273749</v>
      </c>
      <c r="F32" s="43"/>
      <c r="G32" s="43">
        <v>54750</v>
      </c>
      <c r="O32" s="41">
        <f t="shared" si="2"/>
        <v>73434</v>
      </c>
      <c r="Q32" s="41">
        <v>2651819</v>
      </c>
      <c r="R32" s="41">
        <f t="shared" si="1"/>
        <v>530363.80000000005</v>
      </c>
      <c r="U32" s="41" t="s">
        <v>318</v>
      </c>
      <c r="V32" s="41">
        <v>2289780</v>
      </c>
      <c r="W32" s="46"/>
      <c r="X32" s="46"/>
      <c r="Y32" s="47"/>
    </row>
    <row r="33" spans="1:25" x14ac:dyDescent="0.2">
      <c r="A33" s="44">
        <v>2018</v>
      </c>
      <c r="B33" s="44" t="s">
        <v>351</v>
      </c>
      <c r="C33" s="44" t="s">
        <v>44</v>
      </c>
      <c r="D33" s="44" t="s">
        <v>124</v>
      </c>
      <c r="E33" s="44">
        <v>188400</v>
      </c>
      <c r="F33" s="44"/>
      <c r="G33" s="44">
        <v>37680</v>
      </c>
      <c r="J33" s="41" t="s">
        <v>211</v>
      </c>
      <c r="O33" s="41">
        <f t="shared" si="2"/>
        <v>54750</v>
      </c>
      <c r="Q33" s="41">
        <v>2570683</v>
      </c>
      <c r="R33" s="41">
        <f t="shared" si="1"/>
        <v>514136.60000000003</v>
      </c>
      <c r="U33" s="41" t="s">
        <v>319</v>
      </c>
      <c r="V33" s="41">
        <f>63749</f>
        <v>63749</v>
      </c>
      <c r="W33" s="46"/>
      <c r="X33" s="46"/>
      <c r="Y33" s="47"/>
    </row>
    <row r="34" spans="1:25" x14ac:dyDescent="0.2">
      <c r="A34" s="43">
        <v>2018</v>
      </c>
      <c r="B34" s="44" t="s">
        <v>351</v>
      </c>
      <c r="C34" s="43" t="s">
        <v>44</v>
      </c>
      <c r="D34" s="43" t="s">
        <v>127</v>
      </c>
      <c r="E34" s="43">
        <v>144046</v>
      </c>
      <c r="F34" s="43">
        <v>0.1</v>
      </c>
      <c r="G34" s="43">
        <v>28809</v>
      </c>
      <c r="O34" s="41">
        <f t="shared" si="2"/>
        <v>37680</v>
      </c>
      <c r="Q34" s="41">
        <v>2565499</v>
      </c>
      <c r="R34" s="41">
        <f t="shared" si="1"/>
        <v>513099.80000000005</v>
      </c>
      <c r="U34" s="41" t="s">
        <v>320</v>
      </c>
      <c r="V34" s="41">
        <f>255335+V33</f>
        <v>319084</v>
      </c>
      <c r="W34" s="46"/>
      <c r="X34" s="46"/>
      <c r="Y34" s="47"/>
    </row>
    <row r="35" spans="1:25" x14ac:dyDescent="0.2">
      <c r="A35" s="44">
        <v>2018</v>
      </c>
      <c r="B35" s="44" t="s">
        <v>351</v>
      </c>
      <c r="C35" s="44" t="s">
        <v>44</v>
      </c>
      <c r="D35" s="44" t="s">
        <v>215</v>
      </c>
      <c r="E35" s="44">
        <v>107820</v>
      </c>
      <c r="F35" s="44">
        <v>0.1</v>
      </c>
      <c r="G35" s="44">
        <v>21564</v>
      </c>
      <c r="O35" s="41">
        <f t="shared" si="2"/>
        <v>28809</v>
      </c>
      <c r="Q35" s="41">
        <v>2596517</v>
      </c>
      <c r="R35" s="41">
        <f t="shared" si="1"/>
        <v>519303.4</v>
      </c>
      <c r="U35" s="41" t="s">
        <v>218</v>
      </c>
      <c r="V35" s="41">
        <v>339840</v>
      </c>
      <c r="W35" s="46"/>
      <c r="X35" s="46"/>
      <c r="Y35" s="47"/>
    </row>
    <row r="36" spans="1:25" x14ac:dyDescent="0.2">
      <c r="A36" s="43">
        <v>2018</v>
      </c>
      <c r="B36" s="44" t="s">
        <v>351</v>
      </c>
      <c r="C36" s="43" t="s">
        <v>44</v>
      </c>
      <c r="D36" s="43" t="s">
        <v>216</v>
      </c>
      <c r="E36" s="43">
        <v>107911</v>
      </c>
      <c r="F36" s="43">
        <v>0.1</v>
      </c>
      <c r="G36" s="43">
        <v>21582</v>
      </c>
      <c r="O36" s="41">
        <f t="shared" si="2"/>
        <v>21564</v>
      </c>
      <c r="Q36" s="41">
        <v>2488613</v>
      </c>
      <c r="R36" s="41">
        <f t="shared" si="1"/>
        <v>497722.60000000003</v>
      </c>
      <c r="U36" s="41" t="s">
        <v>219</v>
      </c>
      <c r="V36" s="41">
        <v>340115</v>
      </c>
      <c r="W36" s="46"/>
      <c r="X36" s="46"/>
      <c r="Y36" s="47"/>
    </row>
    <row r="37" spans="1:25" x14ac:dyDescent="0.2">
      <c r="A37" s="44">
        <v>2008</v>
      </c>
      <c r="B37" s="44" t="s">
        <v>351</v>
      </c>
      <c r="C37" s="44" t="s">
        <v>43</v>
      </c>
      <c r="D37" s="44" t="s">
        <v>197</v>
      </c>
      <c r="E37" s="44">
        <v>1431183</v>
      </c>
      <c r="F37" s="44">
        <v>0.8</v>
      </c>
      <c r="G37" s="44">
        <v>286237</v>
      </c>
      <c r="O37" s="41">
        <f t="shared" si="2"/>
        <v>21582</v>
      </c>
      <c r="Q37" s="41">
        <v>2215800</v>
      </c>
      <c r="R37" s="41">
        <f t="shared" si="1"/>
        <v>443160</v>
      </c>
      <c r="U37" s="41" t="s">
        <v>220</v>
      </c>
      <c r="V37" s="41">
        <v>274854</v>
      </c>
      <c r="W37" s="46"/>
      <c r="X37" s="46"/>
      <c r="Y37" s="47"/>
    </row>
    <row r="38" spans="1:25" x14ac:dyDescent="0.2">
      <c r="A38" s="43">
        <v>2008</v>
      </c>
      <c r="B38" s="44" t="s">
        <v>351</v>
      </c>
      <c r="C38" s="43" t="s">
        <v>43</v>
      </c>
      <c r="D38" s="43" t="s">
        <v>125</v>
      </c>
      <c r="E38" s="43">
        <v>995992</v>
      </c>
      <c r="F38" s="43">
        <v>0.8</v>
      </c>
      <c r="G38" s="43">
        <v>199198</v>
      </c>
      <c r="L38" s="41" t="s">
        <v>211</v>
      </c>
      <c r="O38" s="41" t="e">
        <f>ROUND(0.2*#REF!,0)</f>
        <v>#REF!</v>
      </c>
      <c r="Q38" s="41">
        <v>1899279</v>
      </c>
      <c r="R38" s="41">
        <f t="shared" si="1"/>
        <v>379855.80000000005</v>
      </c>
      <c r="U38" s="41" t="s">
        <v>221</v>
      </c>
      <c r="V38" s="41">
        <v>219632</v>
      </c>
      <c r="W38" s="46"/>
      <c r="X38" s="46"/>
      <c r="Y38" s="47"/>
    </row>
    <row r="39" spans="1:25" x14ac:dyDescent="0.2">
      <c r="A39" s="44">
        <v>2008</v>
      </c>
      <c r="B39" s="44" t="s">
        <v>351</v>
      </c>
      <c r="C39" s="44" t="s">
        <v>43</v>
      </c>
      <c r="D39" s="44" t="s">
        <v>126</v>
      </c>
      <c r="E39" s="44">
        <v>844315</v>
      </c>
      <c r="F39" s="44">
        <v>0.8</v>
      </c>
      <c r="G39" s="44">
        <v>168863</v>
      </c>
      <c r="J39" s="41" t="s">
        <v>211</v>
      </c>
      <c r="O39" s="41">
        <f t="shared" ref="O39:O52" si="3">ROUND(0.2*E37,0)</f>
        <v>286237</v>
      </c>
      <c r="Q39" s="41">
        <v>1568198</v>
      </c>
      <c r="R39" s="41">
        <f t="shared" si="1"/>
        <v>313639.60000000003</v>
      </c>
      <c r="U39" s="41" t="s">
        <v>222</v>
      </c>
      <c r="V39" s="41">
        <v>154384</v>
      </c>
      <c r="W39" s="46"/>
      <c r="X39" s="46"/>
      <c r="Y39" s="47"/>
    </row>
    <row r="40" spans="1:25" x14ac:dyDescent="0.2">
      <c r="A40" s="43">
        <v>2008</v>
      </c>
      <c r="B40" s="44" t="s">
        <v>351</v>
      </c>
      <c r="C40" s="43" t="s">
        <v>43</v>
      </c>
      <c r="D40" s="43" t="s">
        <v>117</v>
      </c>
      <c r="E40" s="43">
        <v>651028</v>
      </c>
      <c r="F40" s="43">
        <v>0.8</v>
      </c>
      <c r="G40" s="43">
        <v>130206</v>
      </c>
      <c r="O40" s="41">
        <f t="shared" si="3"/>
        <v>199198</v>
      </c>
      <c r="Q40" s="41">
        <v>1324166</v>
      </c>
      <c r="R40" s="41">
        <f t="shared" si="1"/>
        <v>264833.2</v>
      </c>
      <c r="U40" s="41" t="s">
        <v>223</v>
      </c>
      <c r="V40" s="41">
        <v>139341</v>
      </c>
      <c r="W40" s="46"/>
      <c r="X40" s="46"/>
      <c r="Y40" s="47"/>
    </row>
    <row r="41" spans="1:25" x14ac:dyDescent="0.2">
      <c r="A41" s="44">
        <v>2008</v>
      </c>
      <c r="B41" s="44" t="s">
        <v>351</v>
      </c>
      <c r="C41" s="44" t="s">
        <v>43</v>
      </c>
      <c r="D41" s="44" t="s">
        <v>118</v>
      </c>
      <c r="E41" s="44">
        <v>685530</v>
      </c>
      <c r="F41" s="44">
        <v>0.8</v>
      </c>
      <c r="G41" s="44">
        <v>137106</v>
      </c>
      <c r="O41" s="41">
        <f t="shared" si="3"/>
        <v>168863</v>
      </c>
      <c r="Q41" s="41">
        <v>1122009</v>
      </c>
      <c r="R41" s="41">
        <f t="shared" si="1"/>
        <v>224401.80000000002</v>
      </c>
      <c r="U41" s="41" t="s">
        <v>224</v>
      </c>
      <c r="V41" s="41">
        <v>117574</v>
      </c>
      <c r="W41" s="46"/>
      <c r="X41" s="46"/>
      <c r="Y41" s="47"/>
    </row>
    <row r="42" spans="1:25" x14ac:dyDescent="0.2">
      <c r="A42" s="43">
        <v>2008</v>
      </c>
      <c r="B42" s="44" t="s">
        <v>351</v>
      </c>
      <c r="C42" s="43" t="s">
        <v>43</v>
      </c>
      <c r="D42" s="43" t="s">
        <v>119</v>
      </c>
      <c r="E42" s="43">
        <v>572873</v>
      </c>
      <c r="F42" s="43">
        <v>0.8</v>
      </c>
      <c r="G42" s="43">
        <v>114575</v>
      </c>
      <c r="O42" s="41">
        <f t="shared" si="3"/>
        <v>130206</v>
      </c>
      <c r="Q42" s="41">
        <v>925655</v>
      </c>
      <c r="R42" s="41">
        <f t="shared" si="1"/>
        <v>185131</v>
      </c>
      <c r="U42" s="41" t="s">
        <v>225</v>
      </c>
      <c r="V42" s="41">
        <v>94666</v>
      </c>
      <c r="W42" s="46"/>
      <c r="X42" s="46"/>
      <c r="Y42" s="47"/>
    </row>
    <row r="43" spans="1:25" x14ac:dyDescent="0.2">
      <c r="A43" s="44">
        <v>2008</v>
      </c>
      <c r="B43" s="44" t="s">
        <v>351</v>
      </c>
      <c r="C43" s="44" t="s">
        <v>43</v>
      </c>
      <c r="D43" s="44" t="s">
        <v>120</v>
      </c>
      <c r="E43" s="44">
        <v>409948</v>
      </c>
      <c r="F43" s="44">
        <v>0.8</v>
      </c>
      <c r="G43" s="44">
        <v>81990</v>
      </c>
      <c r="O43" s="41">
        <f t="shared" si="3"/>
        <v>137106</v>
      </c>
      <c r="Q43" s="41">
        <v>677128</v>
      </c>
      <c r="R43" s="41">
        <f t="shared" si="1"/>
        <v>135425.60000000001</v>
      </c>
      <c r="U43" s="41" t="s">
        <v>226</v>
      </c>
      <c r="V43" s="41">
        <v>69657</v>
      </c>
      <c r="W43" s="46"/>
      <c r="X43" s="46"/>
      <c r="Y43" s="47"/>
    </row>
    <row r="44" spans="1:25" x14ac:dyDescent="0.2">
      <c r="A44" s="43">
        <v>2008</v>
      </c>
      <c r="B44" s="44" t="s">
        <v>351</v>
      </c>
      <c r="C44" s="43" t="s">
        <v>43</v>
      </c>
      <c r="D44" s="43" t="s">
        <v>121</v>
      </c>
      <c r="E44" s="43">
        <v>299687</v>
      </c>
      <c r="F44" s="43">
        <v>0.8</v>
      </c>
      <c r="G44" s="43">
        <v>59937</v>
      </c>
      <c r="O44" s="41">
        <f t="shared" si="3"/>
        <v>114575</v>
      </c>
      <c r="Q44" s="41">
        <v>2602664</v>
      </c>
      <c r="R44" s="41">
        <f t="shared" si="1"/>
        <v>520532.80000000005</v>
      </c>
      <c r="U44" s="41" t="s">
        <v>227</v>
      </c>
      <c r="V44" s="41">
        <v>57721</v>
      </c>
      <c r="W44" s="46"/>
      <c r="X44" s="46"/>
      <c r="Y44" s="47"/>
    </row>
    <row r="45" spans="1:25" x14ac:dyDescent="0.2">
      <c r="A45" s="44">
        <v>2008</v>
      </c>
      <c r="B45" s="44" t="s">
        <v>351</v>
      </c>
      <c r="C45" s="44" t="s">
        <v>43</v>
      </c>
      <c r="D45" s="44" t="s">
        <v>122</v>
      </c>
      <c r="E45" s="44">
        <v>222685</v>
      </c>
      <c r="F45" s="44">
        <v>0.8</v>
      </c>
      <c r="G45" s="44">
        <v>44537</v>
      </c>
      <c r="O45" s="41">
        <f t="shared" si="3"/>
        <v>81990</v>
      </c>
      <c r="Q45" s="41">
        <v>2535299</v>
      </c>
      <c r="R45" s="41">
        <f t="shared" si="1"/>
        <v>507059.80000000005</v>
      </c>
      <c r="U45" s="41" t="s">
        <v>228</v>
      </c>
      <c r="V45" s="41">
        <v>43661</v>
      </c>
    </row>
    <row r="46" spans="1:25" x14ac:dyDescent="0.2">
      <c r="A46" s="43">
        <v>2008</v>
      </c>
      <c r="B46" s="44" t="s">
        <v>351</v>
      </c>
      <c r="C46" s="43" t="s">
        <v>43</v>
      </c>
      <c r="D46" s="43" t="s">
        <v>123</v>
      </c>
      <c r="E46" s="43">
        <v>175905</v>
      </c>
      <c r="F46" s="43">
        <v>0.8</v>
      </c>
      <c r="G46" s="43">
        <v>35181</v>
      </c>
      <c r="O46" s="41">
        <f t="shared" si="3"/>
        <v>59937</v>
      </c>
      <c r="Q46" s="41">
        <v>2533039</v>
      </c>
      <c r="R46" s="41">
        <f t="shared" si="1"/>
        <v>506607.80000000005</v>
      </c>
      <c r="U46" s="41" t="s">
        <v>229</v>
      </c>
      <c r="V46" s="41">
        <v>34645</v>
      </c>
    </row>
    <row r="47" spans="1:25" x14ac:dyDescent="0.2">
      <c r="A47" s="44">
        <v>2008</v>
      </c>
      <c r="B47" s="44" t="s">
        <v>351</v>
      </c>
      <c r="C47" s="44" t="s">
        <v>43</v>
      </c>
      <c r="D47" s="44" t="s">
        <v>124</v>
      </c>
      <c r="E47" s="44">
        <v>142856</v>
      </c>
      <c r="F47" s="44">
        <v>0.8</v>
      </c>
      <c r="G47" s="44">
        <v>28571</v>
      </c>
      <c r="O47" s="41">
        <f t="shared" si="3"/>
        <v>44537</v>
      </c>
      <c r="Q47" s="41">
        <v>2568409</v>
      </c>
      <c r="R47" s="41">
        <f t="shared" si="1"/>
        <v>513681.80000000005</v>
      </c>
      <c r="U47" s="41" t="s">
        <v>230</v>
      </c>
      <c r="V47" s="41">
        <v>28236</v>
      </c>
    </row>
    <row r="48" spans="1:25" x14ac:dyDescent="0.2">
      <c r="A48" s="43">
        <v>2008</v>
      </c>
      <c r="B48" s="44" t="s">
        <v>351</v>
      </c>
      <c r="C48" s="43" t="s">
        <v>43</v>
      </c>
      <c r="D48" s="43" t="s">
        <v>127</v>
      </c>
      <c r="E48" s="43">
        <v>135598</v>
      </c>
      <c r="F48" s="43">
        <v>0.1</v>
      </c>
      <c r="G48" s="43">
        <v>27120</v>
      </c>
      <c r="O48" s="41">
        <f t="shared" si="3"/>
        <v>35181</v>
      </c>
      <c r="Q48" s="41">
        <v>2451570</v>
      </c>
      <c r="R48" s="41">
        <f t="shared" si="1"/>
        <v>490314</v>
      </c>
      <c r="U48" s="41" t="s">
        <v>231</v>
      </c>
      <c r="V48" s="41">
        <v>20607</v>
      </c>
    </row>
    <row r="49" spans="1:26" x14ac:dyDescent="0.2">
      <c r="A49" s="44">
        <v>2008</v>
      </c>
      <c r="B49" s="44" t="s">
        <v>351</v>
      </c>
      <c r="C49" s="44" t="s">
        <v>43</v>
      </c>
      <c r="D49" s="44" t="s">
        <v>215</v>
      </c>
      <c r="E49" s="44">
        <v>97671</v>
      </c>
      <c r="F49" s="44">
        <v>0.1</v>
      </c>
      <c r="G49" s="44">
        <v>19534</v>
      </c>
      <c r="O49" s="41">
        <f t="shared" si="3"/>
        <v>28571</v>
      </c>
      <c r="Q49" s="41">
        <v>2167428</v>
      </c>
      <c r="R49" s="41">
        <f t="shared" si="1"/>
        <v>433485.60000000003</v>
      </c>
      <c r="U49" s="41" t="s">
        <v>232</v>
      </c>
      <c r="V49" s="41">
        <v>16346</v>
      </c>
    </row>
    <row r="50" spans="1:26" x14ac:dyDescent="0.2">
      <c r="A50" s="43">
        <v>2008</v>
      </c>
      <c r="B50" s="44" t="s">
        <v>351</v>
      </c>
      <c r="C50" s="43" t="s">
        <v>43</v>
      </c>
      <c r="D50" s="43" t="s">
        <v>216</v>
      </c>
      <c r="E50" s="43">
        <v>81791</v>
      </c>
      <c r="F50" s="43">
        <v>0.1</v>
      </c>
      <c r="G50" s="43">
        <v>16358</v>
      </c>
      <c r="O50" s="41">
        <f t="shared" si="3"/>
        <v>27120</v>
      </c>
      <c r="Q50" s="41">
        <v>1906808</v>
      </c>
      <c r="R50" s="41">
        <f t="shared" si="1"/>
        <v>381361.60000000003</v>
      </c>
      <c r="U50" s="41" t="s">
        <v>233</v>
      </c>
      <c r="V50" s="41">
        <v>9750</v>
      </c>
    </row>
    <row r="51" spans="1:26" x14ac:dyDescent="0.2">
      <c r="A51" s="44">
        <v>2008</v>
      </c>
      <c r="B51" s="44" t="s">
        <v>351</v>
      </c>
      <c r="C51" s="44" t="s">
        <v>44</v>
      </c>
      <c r="D51" s="44" t="s">
        <v>197</v>
      </c>
      <c r="E51" s="44">
        <v>1397050</v>
      </c>
      <c r="F51" s="44">
        <v>0.8</v>
      </c>
      <c r="G51" s="43">
        <v>279410</v>
      </c>
      <c r="O51" s="41">
        <f t="shared" si="3"/>
        <v>19534</v>
      </c>
      <c r="Q51" s="41">
        <v>1648612</v>
      </c>
      <c r="R51" s="41">
        <f t="shared" si="1"/>
        <v>329722.40000000002</v>
      </c>
      <c r="U51" s="41" t="s">
        <v>234</v>
      </c>
      <c r="V51" s="41">
        <v>6591</v>
      </c>
    </row>
    <row r="52" spans="1:26" x14ac:dyDescent="0.2">
      <c r="A52" s="43">
        <v>2008</v>
      </c>
      <c r="B52" s="44" t="s">
        <v>351</v>
      </c>
      <c r="C52" s="43" t="s">
        <v>44</v>
      </c>
      <c r="D52" s="43" t="s">
        <v>125</v>
      </c>
      <c r="E52" s="43">
        <v>972307</v>
      </c>
      <c r="F52" s="43">
        <v>0.8</v>
      </c>
      <c r="G52" s="44">
        <v>194461</v>
      </c>
      <c r="O52" s="41">
        <f t="shared" si="3"/>
        <v>16358</v>
      </c>
      <c r="Q52" s="41">
        <v>1434647</v>
      </c>
      <c r="R52" s="41">
        <f t="shared" si="1"/>
        <v>286929.40000000002</v>
      </c>
      <c r="U52" s="41" t="s">
        <v>321</v>
      </c>
      <c r="V52" s="41">
        <v>3076</v>
      </c>
    </row>
    <row r="53" spans="1:26" x14ac:dyDescent="0.2">
      <c r="A53" s="44">
        <v>2008</v>
      </c>
      <c r="B53" s="44" t="s">
        <v>351</v>
      </c>
      <c r="C53" s="44" t="s">
        <v>44</v>
      </c>
      <c r="D53" s="44" t="s">
        <v>126</v>
      </c>
      <c r="E53" s="44">
        <v>826076</v>
      </c>
      <c r="F53" s="44">
        <v>0.8</v>
      </c>
      <c r="G53" s="43">
        <v>165215</v>
      </c>
      <c r="O53" s="41" t="e">
        <f>ROUND(0.2*#REF!,0)</f>
        <v>#REF!</v>
      </c>
      <c r="Q53" s="41">
        <v>1243314</v>
      </c>
      <c r="R53" s="41">
        <f t="shared" si="1"/>
        <v>248662.80000000002</v>
      </c>
    </row>
    <row r="54" spans="1:26" x14ac:dyDescent="0.2">
      <c r="A54" s="43">
        <v>2008</v>
      </c>
      <c r="B54" s="44" t="s">
        <v>351</v>
      </c>
      <c r="C54" s="43" t="s">
        <v>44</v>
      </c>
      <c r="D54" s="43" t="s">
        <v>117</v>
      </c>
      <c r="E54" s="43">
        <v>625664</v>
      </c>
      <c r="F54" s="43">
        <v>0.8</v>
      </c>
      <c r="G54" s="44">
        <v>125133</v>
      </c>
      <c r="O54" s="41">
        <f t="shared" ref="O54:O67" si="4">ROUND(0.2*E51,0)</f>
        <v>279410</v>
      </c>
      <c r="Q54" s="41">
        <v>1054059</v>
      </c>
      <c r="R54" s="41">
        <f t="shared" si="1"/>
        <v>210811.80000000002</v>
      </c>
    </row>
    <row r="55" spans="1:26" x14ac:dyDescent="0.2">
      <c r="A55" s="44">
        <v>2008</v>
      </c>
      <c r="B55" s="44" t="s">
        <v>351</v>
      </c>
      <c r="C55" s="44" t="s">
        <v>44</v>
      </c>
      <c r="D55" s="44" t="s">
        <v>118</v>
      </c>
      <c r="E55" s="44">
        <v>554799</v>
      </c>
      <c r="F55" s="44">
        <v>0.8</v>
      </c>
      <c r="G55" s="43">
        <v>110960</v>
      </c>
      <c r="K55" s="41" t="s">
        <v>211</v>
      </c>
      <c r="O55" s="41">
        <f t="shared" si="4"/>
        <v>194461</v>
      </c>
      <c r="Q55" s="41">
        <v>783876</v>
      </c>
      <c r="R55" s="41">
        <f t="shared" si="1"/>
        <v>156775.20000000001</v>
      </c>
    </row>
    <row r="56" spans="1:26" x14ac:dyDescent="0.2">
      <c r="A56" s="43">
        <v>2008</v>
      </c>
      <c r="B56" s="44" t="s">
        <v>351</v>
      </c>
      <c r="C56" s="43" t="s">
        <v>44</v>
      </c>
      <c r="D56" s="43" t="s">
        <v>119</v>
      </c>
      <c r="E56" s="43">
        <v>530103</v>
      </c>
      <c r="F56" s="43">
        <v>0.8</v>
      </c>
      <c r="G56" s="44">
        <v>106021</v>
      </c>
      <c r="O56" s="41">
        <f t="shared" si="4"/>
        <v>165215</v>
      </c>
      <c r="Q56" s="41">
        <v>2692300</v>
      </c>
      <c r="R56" s="41">
        <f t="shared" si="1"/>
        <v>538460</v>
      </c>
    </row>
    <row r="57" spans="1:26" x14ac:dyDescent="0.2">
      <c r="A57" s="44">
        <v>2008</v>
      </c>
      <c r="B57" s="44" t="s">
        <v>351</v>
      </c>
      <c r="C57" s="44" t="s">
        <v>44</v>
      </c>
      <c r="D57" s="44" t="s">
        <v>120</v>
      </c>
      <c r="E57" s="44">
        <v>417599</v>
      </c>
      <c r="F57" s="44">
        <v>0.8</v>
      </c>
      <c r="G57" s="43">
        <v>83520</v>
      </c>
      <c r="O57" s="41">
        <f t="shared" si="4"/>
        <v>125133</v>
      </c>
      <c r="Q57" s="41">
        <v>2592577</v>
      </c>
      <c r="R57" s="41">
        <f t="shared" si="1"/>
        <v>518515.4</v>
      </c>
    </row>
    <row r="58" spans="1:26" x14ac:dyDescent="0.2">
      <c r="A58" s="43">
        <v>2008</v>
      </c>
      <c r="B58" s="44" t="s">
        <v>351</v>
      </c>
      <c r="C58" s="43" t="s">
        <v>44</v>
      </c>
      <c r="D58" s="43" t="s">
        <v>121</v>
      </c>
      <c r="E58" s="43">
        <v>323643</v>
      </c>
      <c r="F58" s="43">
        <v>0.8</v>
      </c>
      <c r="G58" s="44">
        <v>64729</v>
      </c>
      <c r="K58" s="41" t="s">
        <v>211</v>
      </c>
      <c r="O58" s="41">
        <f t="shared" si="4"/>
        <v>110960</v>
      </c>
      <c r="Q58" s="41">
        <v>2557928</v>
      </c>
      <c r="R58" s="41">
        <f t="shared" si="1"/>
        <v>511585.60000000003</v>
      </c>
    </row>
    <row r="59" spans="1:26" x14ac:dyDescent="0.2">
      <c r="A59" s="44">
        <v>2008</v>
      </c>
      <c r="B59" s="44" t="s">
        <v>351</v>
      </c>
      <c r="C59" s="44" t="s">
        <v>44</v>
      </c>
      <c r="D59" s="44" t="s">
        <v>122</v>
      </c>
      <c r="E59" s="44">
        <v>218546</v>
      </c>
      <c r="F59" s="44">
        <v>0.8</v>
      </c>
      <c r="G59" s="43">
        <v>43709</v>
      </c>
      <c r="O59" s="41">
        <f t="shared" si="4"/>
        <v>106021</v>
      </c>
      <c r="Q59" s="41">
        <v>2584945</v>
      </c>
      <c r="R59" s="41">
        <f t="shared" si="1"/>
        <v>516989</v>
      </c>
      <c r="Y59" s="41" t="s">
        <v>323</v>
      </c>
      <c r="Z59" s="41" t="s">
        <v>324</v>
      </c>
    </row>
    <row r="60" spans="1:26" x14ac:dyDescent="0.2">
      <c r="A60" s="43">
        <v>2008</v>
      </c>
      <c r="B60" s="44" t="s">
        <v>351</v>
      </c>
      <c r="C60" s="43" t="s">
        <v>44</v>
      </c>
      <c r="D60" s="43" t="s">
        <v>123</v>
      </c>
      <c r="E60" s="43">
        <v>167285</v>
      </c>
      <c r="F60" s="43">
        <v>0.8</v>
      </c>
      <c r="G60" s="44">
        <v>33457</v>
      </c>
      <c r="O60" s="41">
        <f t="shared" si="4"/>
        <v>83520</v>
      </c>
      <c r="Q60" s="41">
        <v>2572307</v>
      </c>
      <c r="R60" s="41">
        <f t="shared" si="1"/>
        <v>514461.4</v>
      </c>
      <c r="U60" s="41">
        <v>2018</v>
      </c>
      <c r="V60" s="41" t="s">
        <v>325</v>
      </c>
      <c r="W60" s="41" t="s">
        <v>44</v>
      </c>
      <c r="X60" s="41" t="s">
        <v>197</v>
      </c>
      <c r="Y60" s="41">
        <v>568276</v>
      </c>
      <c r="Z60" s="41">
        <v>575856</v>
      </c>
    </row>
    <row r="61" spans="1:26" x14ac:dyDescent="0.2">
      <c r="A61" s="44">
        <v>2008</v>
      </c>
      <c r="B61" s="44" t="s">
        <v>351</v>
      </c>
      <c r="C61" s="44" t="s">
        <v>44</v>
      </c>
      <c r="D61" s="44" t="s">
        <v>124</v>
      </c>
      <c r="E61" s="44">
        <v>126778</v>
      </c>
      <c r="F61" s="44">
        <v>0.8</v>
      </c>
      <c r="G61" s="43">
        <v>25356</v>
      </c>
      <c r="O61" s="41">
        <f t="shared" si="4"/>
        <v>64729</v>
      </c>
      <c r="Q61" s="41">
        <v>2362377</v>
      </c>
      <c r="R61" s="41">
        <f t="shared" si="1"/>
        <v>472475.4</v>
      </c>
      <c r="U61" s="41">
        <v>2018</v>
      </c>
      <c r="V61" s="41" t="s">
        <v>325</v>
      </c>
      <c r="W61" s="41" t="s">
        <v>44</v>
      </c>
      <c r="X61" s="41" t="s">
        <v>125</v>
      </c>
      <c r="Y61" s="41">
        <v>583853</v>
      </c>
      <c r="Z61" s="41">
        <v>599025</v>
      </c>
    </row>
    <row r="62" spans="1:26" x14ac:dyDescent="0.2">
      <c r="A62" s="43">
        <v>2008</v>
      </c>
      <c r="B62" s="44" t="s">
        <v>351</v>
      </c>
      <c r="C62" s="43" t="s">
        <v>44</v>
      </c>
      <c r="D62" s="43" t="s">
        <v>127</v>
      </c>
      <c r="E62" s="43">
        <v>122616</v>
      </c>
      <c r="F62" s="43">
        <v>0.1</v>
      </c>
      <c r="G62" s="44">
        <v>24523</v>
      </c>
      <c r="K62" s="41" t="s">
        <v>211</v>
      </c>
      <c r="O62" s="41">
        <f t="shared" si="4"/>
        <v>43709</v>
      </c>
      <c r="Q62" s="41">
        <v>2018461</v>
      </c>
      <c r="R62" s="41">
        <f t="shared" si="1"/>
        <v>403692.2</v>
      </c>
      <c r="U62" s="41">
        <v>2018</v>
      </c>
      <c r="V62" s="41" t="s">
        <v>325</v>
      </c>
      <c r="W62" s="41" t="s">
        <v>44</v>
      </c>
      <c r="X62" s="41" t="s">
        <v>126</v>
      </c>
      <c r="Y62" s="41">
        <v>556048</v>
      </c>
      <c r="Z62" s="41">
        <v>569718</v>
      </c>
    </row>
    <row r="63" spans="1:26" x14ac:dyDescent="0.2">
      <c r="A63" s="44">
        <v>2008</v>
      </c>
      <c r="B63" s="44" t="s">
        <v>351</v>
      </c>
      <c r="C63" s="44" t="s">
        <v>44</v>
      </c>
      <c r="D63" s="44" t="s">
        <v>215</v>
      </c>
      <c r="E63" s="44">
        <v>87008</v>
      </c>
      <c r="F63" s="44">
        <v>0.1</v>
      </c>
      <c r="G63" s="43">
        <v>17402</v>
      </c>
      <c r="O63" s="41">
        <f t="shared" si="4"/>
        <v>33457</v>
      </c>
      <c r="Q63" s="41">
        <v>1664587</v>
      </c>
      <c r="R63" s="41">
        <f t="shared" si="1"/>
        <v>332917.40000000002</v>
      </c>
      <c r="U63" s="41">
        <v>2018</v>
      </c>
      <c r="V63" s="41" t="s">
        <v>325</v>
      </c>
      <c r="W63" s="41" t="s">
        <v>44</v>
      </c>
      <c r="X63" s="41" t="s">
        <v>117</v>
      </c>
      <c r="Y63" s="41">
        <v>446148</v>
      </c>
      <c r="Z63" s="41">
        <v>458071</v>
      </c>
    </row>
    <row r="64" spans="1:26" x14ac:dyDescent="0.2">
      <c r="A64" s="43">
        <v>2008</v>
      </c>
      <c r="B64" s="44" t="s">
        <v>351</v>
      </c>
      <c r="C64" s="43" t="s">
        <v>44</v>
      </c>
      <c r="D64" s="43" t="s">
        <v>216</v>
      </c>
      <c r="E64" s="43">
        <v>72038</v>
      </c>
      <c r="F64" s="43">
        <v>0.1</v>
      </c>
      <c r="G64" s="44">
        <v>14408</v>
      </c>
      <c r="O64" s="41">
        <f t="shared" si="4"/>
        <v>25356</v>
      </c>
      <c r="Q64" s="41">
        <v>1367150</v>
      </c>
      <c r="R64" s="41">
        <f t="shared" si="1"/>
        <v>273430</v>
      </c>
      <c r="U64" s="41">
        <v>2018</v>
      </c>
      <c r="V64" s="41" t="s">
        <v>325</v>
      </c>
      <c r="W64" s="41" t="s">
        <v>44</v>
      </c>
      <c r="X64" s="41" t="s">
        <v>118</v>
      </c>
      <c r="Y64" s="41">
        <v>324265</v>
      </c>
      <c r="Z64" s="41">
        <v>379098</v>
      </c>
    </row>
    <row r="65" spans="1:31" x14ac:dyDescent="0.2">
      <c r="A65" s="44">
        <v>2018</v>
      </c>
      <c r="B65" s="44" t="s">
        <v>325</v>
      </c>
      <c r="C65" s="44" t="s">
        <v>44</v>
      </c>
      <c r="D65" s="44" t="s">
        <v>197</v>
      </c>
      <c r="E65" s="44">
        <v>568276</v>
      </c>
      <c r="F65" s="44"/>
      <c r="G65" s="44">
        <v>113655</v>
      </c>
      <c r="O65" s="41">
        <f t="shared" si="4"/>
        <v>24523</v>
      </c>
      <c r="Q65" s="41">
        <v>1159644</v>
      </c>
      <c r="R65" s="41">
        <f t="shared" si="1"/>
        <v>231928.80000000002</v>
      </c>
      <c r="U65" s="41">
        <v>2018</v>
      </c>
      <c r="V65" s="41" t="s">
        <v>325</v>
      </c>
      <c r="W65" s="41" t="s">
        <v>44</v>
      </c>
      <c r="X65" s="41" t="s">
        <v>119</v>
      </c>
      <c r="Y65" s="41">
        <v>241990</v>
      </c>
      <c r="Z65" s="41">
        <v>284460</v>
      </c>
    </row>
    <row r="66" spans="1:31" x14ac:dyDescent="0.2">
      <c r="A66" s="43">
        <v>2018</v>
      </c>
      <c r="B66" s="44" t="s">
        <v>325</v>
      </c>
      <c r="C66" s="43" t="s">
        <v>44</v>
      </c>
      <c r="D66" s="43" t="s">
        <v>125</v>
      </c>
      <c r="E66" s="43">
        <v>583853</v>
      </c>
      <c r="F66" s="43"/>
      <c r="G66" s="43">
        <v>116771</v>
      </c>
      <c r="O66" s="41">
        <f t="shared" si="4"/>
        <v>17402</v>
      </c>
      <c r="Q66" s="41">
        <v>973184</v>
      </c>
      <c r="R66" s="41">
        <f t="shared" si="1"/>
        <v>194636.80000000002</v>
      </c>
      <c r="U66" s="41">
        <v>2018</v>
      </c>
      <c r="V66" s="41" t="s">
        <v>325</v>
      </c>
      <c r="W66" s="41" t="s">
        <v>44</v>
      </c>
      <c r="X66" s="41" t="s">
        <v>120</v>
      </c>
      <c r="Y66" s="41">
        <v>213624</v>
      </c>
      <c r="Z66" s="41">
        <v>261097</v>
      </c>
    </row>
    <row r="67" spans="1:31" x14ac:dyDescent="0.2">
      <c r="A67" s="44">
        <v>2018</v>
      </c>
      <c r="B67" s="44" t="s">
        <v>325</v>
      </c>
      <c r="C67" s="44" t="s">
        <v>44</v>
      </c>
      <c r="D67" s="44" t="s">
        <v>126</v>
      </c>
      <c r="E67" s="44">
        <v>556048</v>
      </c>
      <c r="F67" s="44"/>
      <c r="G67" s="44">
        <v>111210</v>
      </c>
      <c r="O67" s="41">
        <f t="shared" si="4"/>
        <v>14408</v>
      </c>
      <c r="Q67" s="41">
        <v>760379</v>
      </c>
      <c r="R67" s="41">
        <f t="shared" si="1"/>
        <v>152075.80000000002</v>
      </c>
      <c r="U67" s="41">
        <v>2018</v>
      </c>
      <c r="V67" s="41" t="s">
        <v>325</v>
      </c>
      <c r="W67" s="41" t="s">
        <v>44</v>
      </c>
      <c r="X67" s="41" t="s">
        <v>121</v>
      </c>
      <c r="Y67" s="41">
        <v>205187</v>
      </c>
      <c r="Z67" s="41">
        <v>229156</v>
      </c>
    </row>
    <row r="68" spans="1:31" x14ac:dyDescent="0.2">
      <c r="A68" s="43">
        <v>2018</v>
      </c>
      <c r="B68" s="44" t="s">
        <v>325</v>
      </c>
      <c r="C68" s="43" t="s">
        <v>44</v>
      </c>
      <c r="D68" s="43" t="s">
        <v>117</v>
      </c>
      <c r="E68" s="43">
        <v>446148</v>
      </c>
      <c r="F68" s="43"/>
      <c r="G68" s="43">
        <v>89230</v>
      </c>
      <c r="O68" s="41" t="e">
        <f>ROUND(0.2*#REF!,0)</f>
        <v>#REF!</v>
      </c>
      <c r="Q68" s="41">
        <v>2640997</v>
      </c>
      <c r="R68" s="41">
        <f t="shared" si="1"/>
        <v>528199.4</v>
      </c>
      <c r="U68" s="41">
        <v>2018</v>
      </c>
      <c r="V68" s="41" t="s">
        <v>325</v>
      </c>
      <c r="W68" s="41" t="s">
        <v>44</v>
      </c>
      <c r="X68" s="41" t="s">
        <v>122</v>
      </c>
      <c r="Y68" s="41">
        <v>157695</v>
      </c>
      <c r="Z68" s="41">
        <v>157823</v>
      </c>
    </row>
    <row r="69" spans="1:31" x14ac:dyDescent="0.2">
      <c r="A69" s="44">
        <v>2018</v>
      </c>
      <c r="B69" s="44" t="s">
        <v>325</v>
      </c>
      <c r="C69" s="44" t="s">
        <v>44</v>
      </c>
      <c r="D69" s="44" t="s">
        <v>118</v>
      </c>
      <c r="E69" s="44">
        <v>324265</v>
      </c>
      <c r="F69" s="44"/>
      <c r="G69" s="44">
        <v>64853</v>
      </c>
      <c r="O69" s="41">
        <f t="shared" ref="O69:O87" si="5">ROUND(0.2*E65,0)</f>
        <v>113655</v>
      </c>
      <c r="Q69" s="41">
        <v>2555462</v>
      </c>
      <c r="R69" s="41">
        <f t="shared" si="1"/>
        <v>511092.4</v>
      </c>
      <c r="U69" s="41">
        <v>2018</v>
      </c>
      <c r="V69" s="41" t="s">
        <v>325</v>
      </c>
      <c r="W69" s="41" t="s">
        <v>44</v>
      </c>
      <c r="X69" s="41" t="s">
        <v>123</v>
      </c>
      <c r="Y69" s="41">
        <v>117902</v>
      </c>
      <c r="Z69" s="41">
        <v>114126</v>
      </c>
    </row>
    <row r="70" spans="1:31" x14ac:dyDescent="0.2">
      <c r="A70" s="43">
        <v>2018</v>
      </c>
      <c r="B70" s="44" t="s">
        <v>325</v>
      </c>
      <c r="C70" s="43" t="s">
        <v>44</v>
      </c>
      <c r="D70" s="43" t="s">
        <v>119</v>
      </c>
      <c r="E70" s="43">
        <v>241990</v>
      </c>
      <c r="F70" s="43"/>
      <c r="G70" s="43">
        <v>48398</v>
      </c>
      <c r="O70" s="41">
        <f t="shared" si="5"/>
        <v>116771</v>
      </c>
      <c r="Q70" s="41">
        <v>2526253</v>
      </c>
      <c r="R70" s="41">
        <f t="shared" si="1"/>
        <v>505250.60000000003</v>
      </c>
      <c r="U70" s="41">
        <v>2018</v>
      </c>
      <c r="V70" s="41" t="s">
        <v>325</v>
      </c>
      <c r="W70" s="41" t="s">
        <v>44</v>
      </c>
      <c r="X70" s="41" t="s">
        <v>124</v>
      </c>
      <c r="Y70" s="41">
        <v>77749</v>
      </c>
      <c r="Z70" s="41">
        <v>85552</v>
      </c>
    </row>
    <row r="71" spans="1:31" x14ac:dyDescent="0.2">
      <c r="A71" s="44">
        <v>2018</v>
      </c>
      <c r="B71" s="44" t="s">
        <v>325</v>
      </c>
      <c r="C71" s="44" t="s">
        <v>44</v>
      </c>
      <c r="D71" s="44" t="s">
        <v>120</v>
      </c>
      <c r="E71" s="44">
        <v>213624</v>
      </c>
      <c r="F71" s="44"/>
      <c r="G71" s="44">
        <v>42725</v>
      </c>
      <c r="O71" s="41">
        <f t="shared" si="5"/>
        <v>111210</v>
      </c>
      <c r="Q71" s="41">
        <v>2552976</v>
      </c>
      <c r="R71" s="41">
        <f t="shared" si="1"/>
        <v>510595.2</v>
      </c>
      <c r="U71" s="41">
        <v>2018</v>
      </c>
      <c r="V71" s="41" t="s">
        <v>325</v>
      </c>
      <c r="W71" s="41" t="s">
        <v>44</v>
      </c>
      <c r="X71" s="41" t="s">
        <v>127</v>
      </c>
      <c r="Y71" s="41">
        <v>59920</v>
      </c>
      <c r="Z71" s="41">
        <v>71397</v>
      </c>
    </row>
    <row r="72" spans="1:31" x14ac:dyDescent="0.2">
      <c r="A72" s="43">
        <v>2018</v>
      </c>
      <c r="B72" s="44" t="s">
        <v>325</v>
      </c>
      <c r="C72" s="43" t="s">
        <v>44</v>
      </c>
      <c r="D72" s="43" t="s">
        <v>121</v>
      </c>
      <c r="E72" s="43">
        <v>205187</v>
      </c>
      <c r="F72" s="43"/>
      <c r="G72" s="43">
        <v>41037</v>
      </c>
      <c r="O72" s="41">
        <f t="shared" si="5"/>
        <v>89230</v>
      </c>
      <c r="Q72" s="41">
        <v>2523985</v>
      </c>
      <c r="R72" s="41">
        <f t="shared" si="1"/>
        <v>504797</v>
      </c>
      <c r="U72" s="41">
        <v>2018</v>
      </c>
      <c r="V72" s="41" t="s">
        <v>325</v>
      </c>
      <c r="W72" s="41" t="s">
        <v>44</v>
      </c>
      <c r="X72" s="41" t="s">
        <v>215</v>
      </c>
      <c r="Y72" s="41">
        <v>45781</v>
      </c>
      <c r="Z72" s="41">
        <v>56989</v>
      </c>
    </row>
    <row r="73" spans="1:31" x14ac:dyDescent="0.2">
      <c r="A73" s="44">
        <v>2018</v>
      </c>
      <c r="B73" s="44" t="s">
        <v>325</v>
      </c>
      <c r="C73" s="44" t="s">
        <v>44</v>
      </c>
      <c r="D73" s="44" t="s">
        <v>122</v>
      </c>
      <c r="E73" s="44">
        <v>157695</v>
      </c>
      <c r="F73" s="44"/>
      <c r="G73" s="44">
        <v>31539</v>
      </c>
      <c r="O73" s="41">
        <f t="shared" si="5"/>
        <v>64853</v>
      </c>
      <c r="Q73" s="41">
        <v>2282514</v>
      </c>
      <c r="R73" s="41">
        <f t="shared" ref="R73:R127" si="6">Q73*0.2</f>
        <v>456502.80000000005</v>
      </c>
      <c r="U73" s="41">
        <v>2018</v>
      </c>
      <c r="V73" s="41" t="s">
        <v>325</v>
      </c>
      <c r="W73" s="41" t="s">
        <v>44</v>
      </c>
      <c r="X73" s="41" t="s">
        <v>216</v>
      </c>
      <c r="Y73" s="41">
        <v>51813</v>
      </c>
      <c r="Z73" s="41">
        <v>65165</v>
      </c>
    </row>
    <row r="74" spans="1:31" x14ac:dyDescent="0.2">
      <c r="A74" s="43">
        <v>2018</v>
      </c>
      <c r="B74" s="44" t="s">
        <v>325</v>
      </c>
      <c r="C74" s="43" t="s">
        <v>44</v>
      </c>
      <c r="D74" s="43" t="s">
        <v>123</v>
      </c>
      <c r="E74" s="43">
        <v>117902</v>
      </c>
      <c r="F74" s="43"/>
      <c r="G74" s="43">
        <v>23580</v>
      </c>
      <c r="O74" s="41">
        <f t="shared" si="5"/>
        <v>48398</v>
      </c>
      <c r="Q74" s="41">
        <v>1967958</v>
      </c>
      <c r="R74" s="41">
        <f t="shared" si="6"/>
        <v>393591.60000000003</v>
      </c>
      <c r="U74" s="41">
        <v>2018</v>
      </c>
      <c r="V74" s="41" t="s">
        <v>325</v>
      </c>
      <c r="W74" s="41" t="s">
        <v>44</v>
      </c>
      <c r="X74" s="41" t="s">
        <v>326</v>
      </c>
      <c r="Y74" s="41">
        <v>28626</v>
      </c>
      <c r="Z74" s="41">
        <v>36736</v>
      </c>
    </row>
    <row r="75" spans="1:31" x14ac:dyDescent="0.2">
      <c r="A75" s="44">
        <v>2018</v>
      </c>
      <c r="B75" s="44" t="s">
        <v>325</v>
      </c>
      <c r="C75" s="44" t="s">
        <v>44</v>
      </c>
      <c r="D75" s="44" t="s">
        <v>124</v>
      </c>
      <c r="E75" s="44">
        <v>77749</v>
      </c>
      <c r="F75" s="44"/>
      <c r="G75" s="44">
        <v>15550</v>
      </c>
      <c r="O75" s="41">
        <f t="shared" si="5"/>
        <v>42725</v>
      </c>
      <c r="Q75" s="41">
        <v>1717873</v>
      </c>
      <c r="R75" s="41">
        <f t="shared" si="6"/>
        <v>343574.60000000003</v>
      </c>
      <c r="U75" s="41">
        <v>2018</v>
      </c>
      <c r="V75" s="41" t="s">
        <v>325</v>
      </c>
      <c r="W75" s="41" t="s">
        <v>44</v>
      </c>
      <c r="X75" s="41" t="s">
        <v>327</v>
      </c>
      <c r="Y75" s="41">
        <v>23017</v>
      </c>
      <c r="Z75" s="41">
        <v>33497</v>
      </c>
    </row>
    <row r="76" spans="1:31" x14ac:dyDescent="0.2">
      <c r="A76" s="43">
        <v>2018</v>
      </c>
      <c r="B76" s="44" t="s">
        <v>325</v>
      </c>
      <c r="C76" s="43" t="s">
        <v>44</v>
      </c>
      <c r="D76" s="43" t="s">
        <v>127</v>
      </c>
      <c r="E76" s="43">
        <v>59920</v>
      </c>
      <c r="F76" s="43">
        <v>0.1</v>
      </c>
      <c r="G76" s="43">
        <v>11984</v>
      </c>
      <c r="O76" s="41">
        <f t="shared" si="5"/>
        <v>41037</v>
      </c>
      <c r="Q76" s="41">
        <v>1491937</v>
      </c>
      <c r="R76" s="41">
        <f t="shared" si="6"/>
        <v>298387.40000000002</v>
      </c>
      <c r="U76" s="41">
        <v>2018</v>
      </c>
      <c r="V76" s="41" t="s">
        <v>325</v>
      </c>
      <c r="W76" s="41" t="s">
        <v>44</v>
      </c>
      <c r="X76" s="41" t="s">
        <v>328</v>
      </c>
      <c r="Y76" s="41">
        <v>10682</v>
      </c>
      <c r="Z76" s="41">
        <v>18248</v>
      </c>
    </row>
    <row r="77" spans="1:31" x14ac:dyDescent="0.2">
      <c r="A77" s="44">
        <v>2018</v>
      </c>
      <c r="B77" s="44" t="s">
        <v>325</v>
      </c>
      <c r="C77" s="44" t="s">
        <v>44</v>
      </c>
      <c r="D77" s="44" t="s">
        <v>215</v>
      </c>
      <c r="E77" s="44">
        <v>45781</v>
      </c>
      <c r="F77" s="44">
        <v>0.1</v>
      </c>
      <c r="G77" s="44">
        <v>9156</v>
      </c>
      <c r="O77" s="41">
        <f t="shared" si="5"/>
        <v>31539</v>
      </c>
      <c r="Q77" s="41">
        <v>1302936</v>
      </c>
      <c r="R77" s="41">
        <f t="shared" si="6"/>
        <v>260587.2</v>
      </c>
      <c r="U77" s="41">
        <v>2018</v>
      </c>
      <c r="V77" s="41" t="s">
        <v>325</v>
      </c>
      <c r="W77" s="41" t="s">
        <v>44</v>
      </c>
      <c r="X77" s="41" t="s">
        <v>329</v>
      </c>
      <c r="Y77" s="41">
        <v>9736</v>
      </c>
      <c r="Z77" s="41">
        <v>16906</v>
      </c>
    </row>
    <row r="78" spans="1:31" x14ac:dyDescent="0.2">
      <c r="A78" s="43">
        <v>2018</v>
      </c>
      <c r="B78" s="44" t="s">
        <v>325</v>
      </c>
      <c r="C78" s="43" t="s">
        <v>44</v>
      </c>
      <c r="D78" s="43" t="s">
        <v>216</v>
      </c>
      <c r="E78" s="43">
        <v>51813</v>
      </c>
      <c r="F78" s="43">
        <v>0.1</v>
      </c>
      <c r="G78" s="43">
        <v>10363</v>
      </c>
      <c r="O78" s="41">
        <f t="shared" si="5"/>
        <v>23580</v>
      </c>
      <c r="Q78" s="41">
        <v>1124243</v>
      </c>
      <c r="R78" s="41">
        <f t="shared" si="6"/>
        <v>224848.6</v>
      </c>
      <c r="U78" s="41">
        <v>2018</v>
      </c>
      <c r="V78" s="41" t="s">
        <v>325</v>
      </c>
      <c r="W78" s="41" t="s">
        <v>44</v>
      </c>
      <c r="X78" s="41" t="s">
        <v>330</v>
      </c>
      <c r="Y78" s="41">
        <v>2586</v>
      </c>
      <c r="Z78" s="41">
        <v>4966</v>
      </c>
    </row>
    <row r="79" spans="1:31" x14ac:dyDescent="0.2">
      <c r="A79" s="44">
        <v>2018</v>
      </c>
      <c r="B79" s="44" t="s">
        <v>325</v>
      </c>
      <c r="C79" s="44" t="s">
        <v>44</v>
      </c>
      <c r="D79" s="44" t="s">
        <v>326</v>
      </c>
      <c r="E79" s="44">
        <v>28626</v>
      </c>
      <c r="F79" s="44">
        <v>0.1</v>
      </c>
      <c r="G79" s="44">
        <v>5725</v>
      </c>
      <c r="O79" s="41">
        <f t="shared" si="5"/>
        <v>15550</v>
      </c>
      <c r="Q79" s="41">
        <v>898804</v>
      </c>
      <c r="R79" s="41">
        <f t="shared" si="6"/>
        <v>179760.80000000002</v>
      </c>
      <c r="V79" s="41" t="s">
        <v>318</v>
      </c>
      <c r="Y79" s="41">
        <f>SUM(Y60:Y78)</f>
        <v>3724898</v>
      </c>
      <c r="Z79" s="41">
        <f>SUM(Z60:Z78)</f>
        <v>4017886</v>
      </c>
      <c r="AA79" s="41">
        <f>SUM(Y79:Z79)</f>
        <v>7742784</v>
      </c>
    </row>
    <row r="80" spans="1:31" x14ac:dyDescent="0.2">
      <c r="A80" s="43">
        <v>2018</v>
      </c>
      <c r="B80" s="44" t="s">
        <v>325</v>
      </c>
      <c r="C80" s="43" t="s">
        <v>44</v>
      </c>
      <c r="D80" s="43" t="s">
        <v>327</v>
      </c>
      <c r="E80" s="43">
        <v>23017</v>
      </c>
      <c r="F80" s="43">
        <v>0.1</v>
      </c>
      <c r="G80" s="43">
        <v>4603</v>
      </c>
      <c r="O80" s="41">
        <f t="shared" si="5"/>
        <v>11984</v>
      </c>
      <c r="Q80" s="41">
        <v>2784372</v>
      </c>
      <c r="R80" s="41">
        <f t="shared" si="6"/>
        <v>556874.4</v>
      </c>
      <c r="Y80" s="41" t="s">
        <v>324</v>
      </c>
      <c r="AC80" s="41">
        <v>2018</v>
      </c>
      <c r="AE80" s="41">
        <v>1960</v>
      </c>
    </row>
    <row r="81" spans="1:31" x14ac:dyDescent="0.2">
      <c r="A81" s="44">
        <v>2018</v>
      </c>
      <c r="B81" s="44" t="s">
        <v>325</v>
      </c>
      <c r="C81" s="44" t="s">
        <v>44</v>
      </c>
      <c r="D81" s="44" t="s">
        <v>328</v>
      </c>
      <c r="E81" s="44">
        <v>10682</v>
      </c>
      <c r="F81" s="44">
        <v>0.1</v>
      </c>
      <c r="G81" s="44">
        <v>2136</v>
      </c>
      <c r="O81" s="41">
        <f t="shared" si="5"/>
        <v>9156</v>
      </c>
      <c r="Q81" s="41">
        <v>2644720</v>
      </c>
      <c r="R81" s="41">
        <f t="shared" si="6"/>
        <v>528944</v>
      </c>
      <c r="U81" s="41">
        <v>2018</v>
      </c>
      <c r="V81" s="41" t="s">
        <v>325</v>
      </c>
      <c r="W81" s="41" t="s">
        <v>43</v>
      </c>
      <c r="X81" s="41" t="s">
        <v>197</v>
      </c>
      <c r="Y81" s="41">
        <v>575856</v>
      </c>
      <c r="AB81" s="41" t="s">
        <v>325</v>
      </c>
      <c r="AC81" s="41">
        <v>7742784</v>
      </c>
      <c r="AD81" s="41">
        <v>0.44</v>
      </c>
      <c r="AE81" s="41">
        <v>1610400</v>
      </c>
    </row>
    <row r="82" spans="1:31" x14ac:dyDescent="0.2">
      <c r="A82" s="43">
        <v>2018</v>
      </c>
      <c r="B82" s="44" t="s">
        <v>325</v>
      </c>
      <c r="C82" s="43" t="s">
        <v>44</v>
      </c>
      <c r="D82" s="43" t="s">
        <v>329</v>
      </c>
      <c r="E82" s="43">
        <v>9736</v>
      </c>
      <c r="F82" s="43">
        <v>0.1</v>
      </c>
      <c r="G82" s="43">
        <v>1947</v>
      </c>
      <c r="O82" s="41">
        <f t="shared" si="5"/>
        <v>10363</v>
      </c>
      <c r="Q82" s="41">
        <v>2578751</v>
      </c>
      <c r="R82" s="41">
        <f t="shared" si="6"/>
        <v>515750.2</v>
      </c>
      <c r="U82" s="41">
        <v>2018</v>
      </c>
      <c r="V82" s="41" t="s">
        <v>325</v>
      </c>
      <c r="W82" s="41" t="s">
        <v>43</v>
      </c>
      <c r="X82" s="41" t="s">
        <v>125</v>
      </c>
      <c r="Y82" s="41">
        <v>599025</v>
      </c>
      <c r="AB82" s="41" t="s">
        <v>316</v>
      </c>
      <c r="AC82" s="41">
        <v>2287711</v>
      </c>
      <c r="AD82" s="41">
        <v>0.13</v>
      </c>
      <c r="AE82" s="41">
        <v>475800</v>
      </c>
    </row>
    <row r="83" spans="1:31" x14ac:dyDescent="0.2">
      <c r="A83" s="44">
        <v>2018</v>
      </c>
      <c r="B83" s="44" t="s">
        <v>325</v>
      </c>
      <c r="C83" s="44" t="s">
        <v>44</v>
      </c>
      <c r="D83" s="44" t="s">
        <v>330</v>
      </c>
      <c r="E83" s="44">
        <v>2586</v>
      </c>
      <c r="F83" s="44">
        <v>0.1</v>
      </c>
      <c r="G83" s="44">
        <v>517</v>
      </c>
      <c r="O83" s="41">
        <f t="shared" si="5"/>
        <v>5725</v>
      </c>
      <c r="Q83" s="41">
        <v>2572032</v>
      </c>
      <c r="R83" s="41">
        <f t="shared" si="6"/>
        <v>514406.40000000002</v>
      </c>
      <c r="U83" s="41">
        <v>2018</v>
      </c>
      <c r="V83" s="41" t="s">
        <v>325</v>
      </c>
      <c r="W83" s="41" t="s">
        <v>43</v>
      </c>
      <c r="X83" s="41" t="s">
        <v>126</v>
      </c>
      <c r="Y83" s="41">
        <v>569718</v>
      </c>
      <c r="AB83" s="41" t="s">
        <v>317</v>
      </c>
      <c r="AC83" s="41">
        <v>7518124</v>
      </c>
      <c r="AD83" s="41">
        <v>0.43</v>
      </c>
      <c r="AE83" s="41">
        <v>1573800</v>
      </c>
    </row>
    <row r="84" spans="1:31" x14ac:dyDescent="0.2">
      <c r="A84" s="44">
        <v>2018</v>
      </c>
      <c r="B84" s="44" t="s">
        <v>325</v>
      </c>
      <c r="C84" s="44" t="s">
        <v>43</v>
      </c>
      <c r="D84" s="44" t="s">
        <v>197</v>
      </c>
      <c r="E84" s="44">
        <v>575856</v>
      </c>
      <c r="F84" s="44"/>
      <c r="G84" s="44">
        <v>115171</v>
      </c>
      <c r="O84" s="41">
        <f t="shared" si="5"/>
        <v>4603</v>
      </c>
      <c r="Q84" s="41">
        <v>2606447</v>
      </c>
      <c r="R84" s="41">
        <f t="shared" si="6"/>
        <v>521289.4</v>
      </c>
      <c r="U84" s="41">
        <v>2018</v>
      </c>
      <c r="V84" s="41" t="s">
        <v>325</v>
      </c>
      <c r="W84" s="41" t="s">
        <v>43</v>
      </c>
      <c r="X84" s="41" t="s">
        <v>117</v>
      </c>
      <c r="Y84" s="41">
        <v>458071</v>
      </c>
      <c r="AB84" s="41" t="s">
        <v>318</v>
      </c>
      <c r="AC84" s="41">
        <f>SUM(AC81:AC83)</f>
        <v>17548619</v>
      </c>
      <c r="AE84" s="41">
        <v>3660000</v>
      </c>
    </row>
    <row r="85" spans="1:31" x14ac:dyDescent="0.2">
      <c r="A85" s="43">
        <v>2018</v>
      </c>
      <c r="B85" s="44" t="s">
        <v>325</v>
      </c>
      <c r="C85" s="43" t="s">
        <v>43</v>
      </c>
      <c r="D85" s="43" t="s">
        <v>125</v>
      </c>
      <c r="E85" s="43">
        <v>599025</v>
      </c>
      <c r="F85" s="43"/>
      <c r="G85" s="43">
        <v>119805</v>
      </c>
      <c r="O85" s="41">
        <f t="shared" si="5"/>
        <v>2136</v>
      </c>
      <c r="Q85" s="41">
        <v>2530034</v>
      </c>
      <c r="R85" s="41">
        <f t="shared" si="6"/>
        <v>506006.80000000005</v>
      </c>
      <c r="U85" s="41">
        <v>2018</v>
      </c>
      <c r="V85" s="41" t="s">
        <v>325</v>
      </c>
      <c r="W85" s="41" t="s">
        <v>43</v>
      </c>
      <c r="X85" s="41" t="s">
        <v>118</v>
      </c>
      <c r="Y85" s="41">
        <v>379098</v>
      </c>
    </row>
    <row r="86" spans="1:31" x14ac:dyDescent="0.2">
      <c r="A86" s="44">
        <v>2018</v>
      </c>
      <c r="B86" s="44" t="s">
        <v>325</v>
      </c>
      <c r="C86" s="44" t="s">
        <v>43</v>
      </c>
      <c r="D86" s="44" t="s">
        <v>126</v>
      </c>
      <c r="E86" s="44">
        <v>569718</v>
      </c>
      <c r="F86" s="44"/>
      <c r="G86" s="44">
        <v>113944</v>
      </c>
      <c r="O86" s="41">
        <f t="shared" si="5"/>
        <v>1947</v>
      </c>
      <c r="Q86" s="41">
        <v>2227862</v>
      </c>
      <c r="R86" s="41">
        <f t="shared" si="6"/>
        <v>445572.4</v>
      </c>
      <c r="U86" s="41">
        <v>2018</v>
      </c>
      <c r="V86" s="41" t="s">
        <v>325</v>
      </c>
      <c r="W86" s="41" t="s">
        <v>43</v>
      </c>
      <c r="X86" s="41" t="s">
        <v>119</v>
      </c>
      <c r="Y86" s="41">
        <v>284460</v>
      </c>
    </row>
    <row r="87" spans="1:31" x14ac:dyDescent="0.2">
      <c r="A87" s="43">
        <v>2018</v>
      </c>
      <c r="B87" s="44" t="s">
        <v>325</v>
      </c>
      <c r="C87" s="43" t="s">
        <v>43</v>
      </c>
      <c r="D87" s="43" t="s">
        <v>117</v>
      </c>
      <c r="E87" s="43">
        <v>458071</v>
      </c>
      <c r="F87" s="43"/>
      <c r="G87" s="43">
        <v>91614</v>
      </c>
      <c r="O87" s="41">
        <f t="shared" si="5"/>
        <v>517</v>
      </c>
      <c r="Q87" s="41">
        <v>1845019</v>
      </c>
      <c r="R87" s="41">
        <f t="shared" si="6"/>
        <v>369003.80000000005</v>
      </c>
      <c r="U87" s="41">
        <v>2018</v>
      </c>
      <c r="V87" s="41" t="s">
        <v>325</v>
      </c>
      <c r="W87" s="41" t="s">
        <v>43</v>
      </c>
      <c r="X87" s="41" t="s">
        <v>120</v>
      </c>
      <c r="Y87" s="41">
        <v>261097</v>
      </c>
    </row>
    <row r="88" spans="1:31" x14ac:dyDescent="0.2">
      <c r="A88" s="44">
        <v>2018</v>
      </c>
      <c r="B88" s="44" t="s">
        <v>325</v>
      </c>
      <c r="C88" s="44" t="s">
        <v>43</v>
      </c>
      <c r="D88" s="44" t="s">
        <v>118</v>
      </c>
      <c r="E88" s="44">
        <v>379098</v>
      </c>
      <c r="F88" s="44"/>
      <c r="G88" s="44">
        <v>75820</v>
      </c>
      <c r="O88" s="41" t="e">
        <f>ROUND(0.2*#REF!,0)</f>
        <v>#REF!</v>
      </c>
      <c r="Q88" s="41">
        <v>1493652</v>
      </c>
      <c r="R88" s="41">
        <f t="shared" si="6"/>
        <v>298730.40000000002</v>
      </c>
      <c r="U88" s="41">
        <v>2018</v>
      </c>
      <c r="V88" s="41" t="s">
        <v>325</v>
      </c>
      <c r="W88" s="41" t="s">
        <v>43</v>
      </c>
      <c r="X88" s="41" t="s">
        <v>121</v>
      </c>
      <c r="Y88" s="41">
        <v>229156</v>
      </c>
    </row>
    <row r="89" spans="1:31" x14ac:dyDescent="0.2">
      <c r="A89" s="43">
        <v>2018</v>
      </c>
      <c r="B89" s="44" t="s">
        <v>325</v>
      </c>
      <c r="C89" s="43" t="s">
        <v>43</v>
      </c>
      <c r="D89" s="43" t="s">
        <v>119</v>
      </c>
      <c r="E89" s="43">
        <v>284460</v>
      </c>
      <c r="F89" s="43"/>
      <c r="G89" s="43">
        <v>56892</v>
      </c>
      <c r="O89" s="41">
        <f t="shared" ref="O89:O107" si="7">ROUND(0.2*E84,0)</f>
        <v>115171</v>
      </c>
      <c r="Q89" s="41">
        <v>1234887</v>
      </c>
      <c r="R89" s="41">
        <f t="shared" si="6"/>
        <v>246977.40000000002</v>
      </c>
      <c r="U89" s="41">
        <v>2018</v>
      </c>
      <c r="V89" s="41" t="s">
        <v>325</v>
      </c>
      <c r="W89" s="41" t="s">
        <v>43</v>
      </c>
      <c r="X89" s="41" t="s">
        <v>122</v>
      </c>
      <c r="Y89" s="41">
        <v>157823</v>
      </c>
    </row>
    <row r="90" spans="1:31" x14ac:dyDescent="0.2">
      <c r="A90" s="44">
        <v>2018</v>
      </c>
      <c r="B90" s="44" t="s">
        <v>325</v>
      </c>
      <c r="C90" s="44" t="s">
        <v>43</v>
      </c>
      <c r="D90" s="44" t="s">
        <v>120</v>
      </c>
      <c r="E90" s="44">
        <v>261097</v>
      </c>
      <c r="F90" s="44"/>
      <c r="G90" s="44">
        <v>52219</v>
      </c>
      <c r="O90" s="41">
        <f t="shared" si="7"/>
        <v>119805</v>
      </c>
      <c r="Q90" s="41">
        <v>1038560</v>
      </c>
      <c r="R90" s="41">
        <f t="shared" si="6"/>
        <v>207712</v>
      </c>
      <c r="U90" s="41">
        <v>2018</v>
      </c>
      <c r="V90" s="41" t="s">
        <v>325</v>
      </c>
      <c r="W90" s="41" t="s">
        <v>43</v>
      </c>
      <c r="X90" s="41" t="s">
        <v>123</v>
      </c>
      <c r="Y90" s="41">
        <v>114126</v>
      </c>
    </row>
    <row r="91" spans="1:31" x14ac:dyDescent="0.2">
      <c r="A91" s="43">
        <v>2018</v>
      </c>
      <c r="B91" s="44" t="s">
        <v>325</v>
      </c>
      <c r="C91" s="43" t="s">
        <v>43</v>
      </c>
      <c r="D91" s="43" t="s">
        <v>121</v>
      </c>
      <c r="E91" s="43">
        <v>229156</v>
      </c>
      <c r="F91" s="43"/>
      <c r="G91" s="43">
        <v>45831</v>
      </c>
      <c r="O91" s="41">
        <f t="shared" si="7"/>
        <v>113944</v>
      </c>
      <c r="Q91" s="41">
        <v>856728</v>
      </c>
      <c r="R91" s="41">
        <f t="shared" si="6"/>
        <v>171345.6</v>
      </c>
      <c r="U91" s="41">
        <v>2018</v>
      </c>
      <c r="V91" s="41" t="s">
        <v>325</v>
      </c>
      <c r="W91" s="41" t="s">
        <v>43</v>
      </c>
      <c r="X91" s="41" t="s">
        <v>124</v>
      </c>
      <c r="Y91" s="41">
        <v>85552</v>
      </c>
    </row>
    <row r="92" spans="1:31" x14ac:dyDescent="0.2">
      <c r="A92" s="44">
        <v>2018</v>
      </c>
      <c r="B92" s="44" t="s">
        <v>325</v>
      </c>
      <c r="C92" s="44" t="s">
        <v>43</v>
      </c>
      <c r="D92" s="44" t="s">
        <v>122</v>
      </c>
      <c r="E92" s="44">
        <v>157823</v>
      </c>
      <c r="F92" s="44"/>
      <c r="G92" s="44">
        <v>31565</v>
      </c>
      <c r="O92" s="41">
        <f t="shared" si="7"/>
        <v>91614</v>
      </c>
      <c r="Q92" s="41">
        <v>2729586</v>
      </c>
      <c r="R92" s="41">
        <f t="shared" si="6"/>
        <v>545917.20000000007</v>
      </c>
      <c r="U92" s="41">
        <v>2018</v>
      </c>
      <c r="V92" s="41" t="s">
        <v>325</v>
      </c>
      <c r="W92" s="41" t="s">
        <v>43</v>
      </c>
      <c r="X92" s="41" t="s">
        <v>127</v>
      </c>
      <c r="Y92" s="41">
        <v>71397</v>
      </c>
    </row>
    <row r="93" spans="1:31" x14ac:dyDescent="0.2">
      <c r="A93" s="43">
        <v>2018</v>
      </c>
      <c r="B93" s="44" t="s">
        <v>325</v>
      </c>
      <c r="C93" s="43" t="s">
        <v>43</v>
      </c>
      <c r="D93" s="43" t="s">
        <v>123</v>
      </c>
      <c r="E93" s="43">
        <v>114126</v>
      </c>
      <c r="F93" s="43"/>
      <c r="G93" s="43">
        <v>22825</v>
      </c>
      <c r="O93" s="41">
        <f t="shared" si="7"/>
        <v>75820</v>
      </c>
      <c r="Q93" s="41">
        <v>2604517</v>
      </c>
      <c r="R93" s="41">
        <f t="shared" si="6"/>
        <v>520903.4</v>
      </c>
      <c r="U93" s="41">
        <v>2018</v>
      </c>
      <c r="V93" s="41" t="s">
        <v>325</v>
      </c>
      <c r="W93" s="41" t="s">
        <v>43</v>
      </c>
      <c r="X93" s="41" t="s">
        <v>215</v>
      </c>
      <c r="Y93" s="41">
        <v>56989</v>
      </c>
    </row>
    <row r="94" spans="1:31" x14ac:dyDescent="0.2">
      <c r="A94" s="44">
        <v>2018</v>
      </c>
      <c r="B94" s="44" t="s">
        <v>325</v>
      </c>
      <c r="C94" s="44" t="s">
        <v>43</v>
      </c>
      <c r="D94" s="44" t="s">
        <v>124</v>
      </c>
      <c r="E94" s="44">
        <v>85552</v>
      </c>
      <c r="F94" s="44"/>
      <c r="G94" s="44">
        <v>17110</v>
      </c>
      <c r="O94" s="41">
        <f t="shared" si="7"/>
        <v>56892</v>
      </c>
      <c r="Q94" s="41">
        <v>2545219</v>
      </c>
      <c r="R94" s="41">
        <f t="shared" si="6"/>
        <v>509043.80000000005</v>
      </c>
      <c r="U94" s="41">
        <v>2018</v>
      </c>
      <c r="V94" s="41" t="s">
        <v>325</v>
      </c>
      <c r="W94" s="41" t="s">
        <v>43</v>
      </c>
      <c r="X94" s="41" t="s">
        <v>216</v>
      </c>
      <c r="Y94" s="41">
        <v>65165</v>
      </c>
    </row>
    <row r="95" spans="1:31" x14ac:dyDescent="0.2">
      <c r="A95" s="43">
        <v>2018</v>
      </c>
      <c r="B95" s="44" t="s">
        <v>325</v>
      </c>
      <c r="C95" s="43" t="s">
        <v>43</v>
      </c>
      <c r="D95" s="43" t="s">
        <v>127</v>
      </c>
      <c r="E95" s="43">
        <v>71397</v>
      </c>
      <c r="F95" s="43">
        <v>0.1</v>
      </c>
      <c r="G95" s="43">
        <v>14279</v>
      </c>
      <c r="O95" s="41">
        <f t="shared" si="7"/>
        <v>52219</v>
      </c>
      <c r="Q95" s="41">
        <v>2535920</v>
      </c>
      <c r="R95" s="41">
        <f t="shared" si="6"/>
        <v>507184</v>
      </c>
      <c r="U95" s="41">
        <v>2018</v>
      </c>
      <c r="V95" s="41" t="s">
        <v>325</v>
      </c>
      <c r="W95" s="41" t="s">
        <v>43</v>
      </c>
      <c r="X95" s="41" t="s">
        <v>326</v>
      </c>
      <c r="Y95" s="41">
        <v>36736</v>
      </c>
    </row>
    <row r="96" spans="1:31" x14ac:dyDescent="0.2">
      <c r="A96" s="44">
        <v>2018</v>
      </c>
      <c r="B96" s="44" t="s">
        <v>325</v>
      </c>
      <c r="C96" s="44" t="s">
        <v>43</v>
      </c>
      <c r="D96" s="44" t="s">
        <v>215</v>
      </c>
      <c r="E96" s="44">
        <v>56989</v>
      </c>
      <c r="F96" s="44">
        <v>0.1</v>
      </c>
      <c r="G96" s="44">
        <v>11398</v>
      </c>
      <c r="O96" s="41">
        <f t="shared" si="7"/>
        <v>45831</v>
      </c>
      <c r="Q96" s="41">
        <v>2560705</v>
      </c>
      <c r="R96" s="41">
        <f t="shared" si="6"/>
        <v>512141</v>
      </c>
      <c r="U96" s="41">
        <v>2018</v>
      </c>
      <c r="V96" s="41" t="s">
        <v>325</v>
      </c>
      <c r="W96" s="41" t="s">
        <v>43</v>
      </c>
      <c r="X96" s="41" t="s">
        <v>327</v>
      </c>
      <c r="Y96" s="41">
        <v>33497</v>
      </c>
    </row>
    <row r="97" spans="1:26" x14ac:dyDescent="0.2">
      <c r="A97" s="43">
        <v>2018</v>
      </c>
      <c r="B97" s="44" t="s">
        <v>325</v>
      </c>
      <c r="C97" s="43" t="s">
        <v>43</v>
      </c>
      <c r="D97" s="43" t="s">
        <v>216</v>
      </c>
      <c r="E97" s="43">
        <v>65165</v>
      </c>
      <c r="F97" s="43">
        <v>0.1</v>
      </c>
      <c r="G97" s="43">
        <v>13033</v>
      </c>
      <c r="O97" s="41">
        <f t="shared" si="7"/>
        <v>31565</v>
      </c>
      <c r="Q97" s="41">
        <v>2447992</v>
      </c>
      <c r="R97" s="41">
        <f t="shared" si="6"/>
        <v>489598.4</v>
      </c>
      <c r="U97" s="41">
        <v>2018</v>
      </c>
      <c r="V97" s="41" t="s">
        <v>325</v>
      </c>
      <c r="W97" s="41" t="s">
        <v>43</v>
      </c>
      <c r="X97" s="41" t="s">
        <v>328</v>
      </c>
      <c r="Y97" s="41">
        <v>18248</v>
      </c>
    </row>
    <row r="98" spans="1:26" x14ac:dyDescent="0.2">
      <c r="A98" s="44">
        <v>2018</v>
      </c>
      <c r="B98" s="44" t="s">
        <v>325</v>
      </c>
      <c r="C98" s="44" t="s">
        <v>43</v>
      </c>
      <c r="D98" s="44" t="s">
        <v>326</v>
      </c>
      <c r="E98" s="44">
        <v>36736</v>
      </c>
      <c r="F98" s="44">
        <v>0.1</v>
      </c>
      <c r="G98" s="44">
        <v>7347</v>
      </c>
      <c r="O98" s="41">
        <f t="shared" si="7"/>
        <v>22825</v>
      </c>
      <c r="Q98" s="41">
        <v>2123170</v>
      </c>
      <c r="R98" s="41">
        <f t="shared" si="6"/>
        <v>424634</v>
      </c>
      <c r="U98" s="41">
        <v>2018</v>
      </c>
      <c r="V98" s="41" t="s">
        <v>325</v>
      </c>
      <c r="W98" s="41" t="s">
        <v>43</v>
      </c>
      <c r="X98" s="41" t="s">
        <v>329</v>
      </c>
      <c r="Y98" s="41">
        <v>16906</v>
      </c>
    </row>
    <row r="99" spans="1:26" x14ac:dyDescent="0.2">
      <c r="A99" s="43">
        <v>2018</v>
      </c>
      <c r="B99" s="44" t="s">
        <v>325</v>
      </c>
      <c r="C99" s="43" t="s">
        <v>43</v>
      </c>
      <c r="D99" s="43" t="s">
        <v>327</v>
      </c>
      <c r="E99" s="43">
        <v>33497</v>
      </c>
      <c r="F99" s="43">
        <v>0.1</v>
      </c>
      <c r="G99" s="43">
        <v>6699</v>
      </c>
      <c r="O99" s="41">
        <f t="shared" si="7"/>
        <v>17110</v>
      </c>
      <c r="Q99" s="41">
        <v>1821711</v>
      </c>
      <c r="R99" s="41">
        <f t="shared" si="6"/>
        <v>364342.2</v>
      </c>
      <c r="U99" s="41">
        <v>2018</v>
      </c>
      <c r="V99" s="41" t="s">
        <v>325</v>
      </c>
      <c r="W99" s="41" t="s">
        <v>43</v>
      </c>
      <c r="X99" s="41" t="s">
        <v>330</v>
      </c>
      <c r="Y99" s="41">
        <v>4966</v>
      </c>
    </row>
    <row r="100" spans="1:26" x14ac:dyDescent="0.2">
      <c r="A100" s="44">
        <v>2018</v>
      </c>
      <c r="B100" s="44" t="s">
        <v>325</v>
      </c>
      <c r="C100" s="44" t="s">
        <v>43</v>
      </c>
      <c r="D100" s="44" t="s">
        <v>328</v>
      </c>
      <c r="E100" s="44">
        <v>18248</v>
      </c>
      <c r="F100" s="44">
        <v>0.1</v>
      </c>
      <c r="G100" s="44">
        <v>3650</v>
      </c>
      <c r="O100" s="41">
        <f t="shared" si="7"/>
        <v>14279</v>
      </c>
      <c r="Q100" s="41">
        <v>1594914</v>
      </c>
      <c r="R100" s="41">
        <f t="shared" si="6"/>
        <v>318982.80000000005</v>
      </c>
      <c r="V100" s="41" t="s">
        <v>352</v>
      </c>
      <c r="Y100" s="41">
        <f>SUM(Y81:Y99)</f>
        <v>4017886</v>
      </c>
    </row>
    <row r="101" spans="1:26" x14ac:dyDescent="0.2">
      <c r="A101" s="43">
        <v>2018</v>
      </c>
      <c r="B101" s="44" t="s">
        <v>325</v>
      </c>
      <c r="C101" s="43" t="s">
        <v>43</v>
      </c>
      <c r="D101" s="43" t="s">
        <v>329</v>
      </c>
      <c r="E101" s="43">
        <v>16906</v>
      </c>
      <c r="F101" s="43">
        <v>0.1</v>
      </c>
      <c r="G101" s="43">
        <v>3381</v>
      </c>
      <c r="O101" s="41">
        <f t="shared" si="7"/>
        <v>11398</v>
      </c>
      <c r="Q101" s="41">
        <v>1396666</v>
      </c>
      <c r="R101" s="41">
        <f t="shared" si="6"/>
        <v>279333.2</v>
      </c>
      <c r="Y101" s="41" t="s">
        <v>323</v>
      </c>
      <c r="Z101" s="41" t="s">
        <v>324</v>
      </c>
    </row>
    <row r="102" spans="1:26" x14ac:dyDescent="0.2">
      <c r="A102" s="44">
        <v>2018</v>
      </c>
      <c r="B102" s="44" t="s">
        <v>325</v>
      </c>
      <c r="C102" s="44" t="s">
        <v>43</v>
      </c>
      <c r="D102" s="44" t="s">
        <v>330</v>
      </c>
      <c r="E102" s="44">
        <v>4966</v>
      </c>
      <c r="F102" s="44">
        <v>0.1</v>
      </c>
      <c r="G102" s="44">
        <v>993</v>
      </c>
      <c r="O102" s="41">
        <f t="shared" si="7"/>
        <v>13033</v>
      </c>
      <c r="Q102" s="41">
        <v>1214556</v>
      </c>
      <c r="R102" s="41">
        <f t="shared" si="6"/>
        <v>242911.2</v>
      </c>
      <c r="U102" s="41">
        <v>2018</v>
      </c>
      <c r="V102" s="41" t="s">
        <v>316</v>
      </c>
      <c r="W102" s="41" t="s">
        <v>44</v>
      </c>
      <c r="X102" s="41" t="s">
        <v>197</v>
      </c>
      <c r="Y102" s="41">
        <v>157891</v>
      </c>
      <c r="Z102" s="41">
        <v>161193</v>
      </c>
    </row>
    <row r="103" spans="1:26" x14ac:dyDescent="0.2">
      <c r="A103" s="44">
        <v>2018</v>
      </c>
      <c r="B103" s="44" t="s">
        <v>316</v>
      </c>
      <c r="C103" s="44" t="s">
        <v>44</v>
      </c>
      <c r="D103" s="44" t="s">
        <v>197</v>
      </c>
      <c r="E103" s="44">
        <v>157891</v>
      </c>
      <c r="F103" s="44"/>
      <c r="G103" s="44">
        <v>31578</v>
      </c>
      <c r="O103" s="41">
        <f t="shared" si="7"/>
        <v>7347</v>
      </c>
      <c r="Q103" s="41">
        <v>1035986</v>
      </c>
      <c r="R103" s="41">
        <f t="shared" si="6"/>
        <v>207197.2</v>
      </c>
      <c r="U103" s="41">
        <v>2018</v>
      </c>
      <c r="V103" s="41" t="s">
        <v>316</v>
      </c>
      <c r="W103" s="41" t="s">
        <v>44</v>
      </c>
      <c r="X103" s="41" t="s">
        <v>125</v>
      </c>
      <c r="Y103" s="41">
        <v>167618</v>
      </c>
      <c r="Z103" s="41">
        <v>172222</v>
      </c>
    </row>
    <row r="104" spans="1:26" x14ac:dyDescent="0.2">
      <c r="A104" s="43">
        <v>2018</v>
      </c>
      <c r="B104" s="44" t="s">
        <v>316</v>
      </c>
      <c r="C104" s="43" t="s">
        <v>44</v>
      </c>
      <c r="D104" s="43" t="s">
        <v>125</v>
      </c>
      <c r="E104" s="43">
        <v>167618</v>
      </c>
      <c r="F104" s="43"/>
      <c r="G104" s="43">
        <v>33524</v>
      </c>
      <c r="O104" s="41">
        <f t="shared" si="7"/>
        <v>6699</v>
      </c>
      <c r="Q104" s="41">
        <v>2886299</v>
      </c>
      <c r="R104" s="41">
        <f t="shared" si="6"/>
        <v>577259.80000000005</v>
      </c>
      <c r="U104" s="41">
        <v>2018</v>
      </c>
      <c r="V104" s="41" t="s">
        <v>316</v>
      </c>
      <c r="W104" s="41" t="s">
        <v>44</v>
      </c>
      <c r="X104" s="41" t="s">
        <v>126</v>
      </c>
      <c r="Y104" s="41">
        <v>166945</v>
      </c>
      <c r="Z104" s="41">
        <v>173170</v>
      </c>
    </row>
    <row r="105" spans="1:26" x14ac:dyDescent="0.2">
      <c r="A105" s="44">
        <v>2018</v>
      </c>
      <c r="B105" s="44" t="s">
        <v>316</v>
      </c>
      <c r="C105" s="44" t="s">
        <v>44</v>
      </c>
      <c r="D105" s="44" t="s">
        <v>126</v>
      </c>
      <c r="E105" s="44">
        <v>166945</v>
      </c>
      <c r="F105" s="44"/>
      <c r="G105" s="44">
        <v>33389</v>
      </c>
      <c r="O105" s="41">
        <f t="shared" si="7"/>
        <v>3650</v>
      </c>
      <c r="Q105" s="41">
        <v>2767111</v>
      </c>
      <c r="R105" s="41">
        <f t="shared" si="6"/>
        <v>553422.20000000007</v>
      </c>
      <c r="U105" s="41">
        <v>2018</v>
      </c>
      <c r="V105" s="41" t="s">
        <v>316</v>
      </c>
      <c r="W105" s="41" t="s">
        <v>44</v>
      </c>
      <c r="X105" s="41" t="s">
        <v>117</v>
      </c>
      <c r="Y105" s="41">
        <v>135554</v>
      </c>
      <c r="Z105" s="41">
        <v>139300</v>
      </c>
    </row>
    <row r="106" spans="1:26" x14ac:dyDescent="0.2">
      <c r="A106" s="43">
        <v>2018</v>
      </c>
      <c r="B106" s="44" t="s">
        <v>316</v>
      </c>
      <c r="C106" s="43" t="s">
        <v>44</v>
      </c>
      <c r="D106" s="43" t="s">
        <v>117</v>
      </c>
      <c r="E106" s="43">
        <v>135554</v>
      </c>
      <c r="F106" s="43"/>
      <c r="G106" s="43">
        <v>27111</v>
      </c>
      <c r="O106" s="41">
        <f t="shared" si="7"/>
        <v>3381</v>
      </c>
      <c r="Q106" s="41">
        <v>2636981</v>
      </c>
      <c r="R106" s="41">
        <f t="shared" si="6"/>
        <v>527396.20000000007</v>
      </c>
      <c r="U106" s="41">
        <v>2018</v>
      </c>
      <c r="V106" s="41" t="s">
        <v>316</v>
      </c>
      <c r="W106" s="41" t="s">
        <v>44</v>
      </c>
      <c r="X106" s="41" t="s">
        <v>118</v>
      </c>
      <c r="Y106" s="41">
        <v>105081</v>
      </c>
      <c r="Z106" s="41">
        <v>114551</v>
      </c>
    </row>
    <row r="107" spans="1:26" x14ac:dyDescent="0.2">
      <c r="A107" s="44">
        <v>2018</v>
      </c>
      <c r="B107" s="44" t="s">
        <v>316</v>
      </c>
      <c r="C107" s="44" t="s">
        <v>44</v>
      </c>
      <c r="D107" s="44" t="s">
        <v>118</v>
      </c>
      <c r="E107" s="44">
        <v>105081</v>
      </c>
      <c r="F107" s="44"/>
      <c r="G107" s="44">
        <v>21016</v>
      </c>
      <c r="O107" s="41">
        <f t="shared" si="7"/>
        <v>993</v>
      </c>
      <c r="Q107" s="41">
        <v>2587023</v>
      </c>
      <c r="R107" s="41">
        <f t="shared" si="6"/>
        <v>517404.60000000003</v>
      </c>
      <c r="U107" s="41">
        <v>2018</v>
      </c>
      <c r="V107" s="41" t="s">
        <v>316</v>
      </c>
      <c r="W107" s="41" t="s">
        <v>44</v>
      </c>
      <c r="X107" s="41" t="s">
        <v>119</v>
      </c>
      <c r="Y107" s="41">
        <v>73549</v>
      </c>
      <c r="Z107" s="41">
        <v>80835</v>
      </c>
    </row>
    <row r="108" spans="1:26" x14ac:dyDescent="0.2">
      <c r="A108" s="43">
        <v>2018</v>
      </c>
      <c r="B108" s="44" t="s">
        <v>316</v>
      </c>
      <c r="C108" s="43" t="s">
        <v>44</v>
      </c>
      <c r="D108" s="43" t="s">
        <v>119</v>
      </c>
      <c r="E108" s="43">
        <v>73549</v>
      </c>
      <c r="F108" s="43"/>
      <c r="G108" s="43">
        <v>14710</v>
      </c>
      <c r="O108" s="41" t="e">
        <f>ROUND(0.2*#REF!,0)</f>
        <v>#REF!</v>
      </c>
      <c r="Q108" s="41">
        <v>2594656</v>
      </c>
      <c r="R108" s="41">
        <f t="shared" si="6"/>
        <v>518931.20000000001</v>
      </c>
      <c r="U108" s="41">
        <v>2018</v>
      </c>
      <c r="V108" s="41" t="s">
        <v>316</v>
      </c>
      <c r="W108" s="41" t="s">
        <v>44</v>
      </c>
      <c r="X108" s="41" t="s">
        <v>120</v>
      </c>
      <c r="Y108" s="41">
        <v>66152</v>
      </c>
      <c r="Z108" s="41">
        <v>73189</v>
      </c>
    </row>
    <row r="109" spans="1:26" x14ac:dyDescent="0.2">
      <c r="A109" s="44">
        <v>2018</v>
      </c>
      <c r="B109" s="44" t="s">
        <v>316</v>
      </c>
      <c r="C109" s="44" t="s">
        <v>44</v>
      </c>
      <c r="D109" s="44" t="s">
        <v>120</v>
      </c>
      <c r="E109" s="44">
        <v>66152</v>
      </c>
      <c r="F109" s="44"/>
      <c r="G109" s="44">
        <v>13230</v>
      </c>
      <c r="O109" s="41">
        <f t="shared" ref="O109:O127" si="8">ROUND(0.2*E103,0)</f>
        <v>31578</v>
      </c>
      <c r="Q109" s="41">
        <v>2612453</v>
      </c>
      <c r="R109" s="41">
        <f t="shared" si="6"/>
        <v>522490.60000000003</v>
      </c>
      <c r="U109" s="41">
        <v>2018</v>
      </c>
      <c r="V109" s="41" t="s">
        <v>316</v>
      </c>
      <c r="W109" s="41" t="s">
        <v>44</v>
      </c>
      <c r="X109" s="41" t="s">
        <v>121</v>
      </c>
      <c r="Y109" s="41">
        <v>56982</v>
      </c>
      <c r="Z109" s="41">
        <v>60592</v>
      </c>
    </row>
    <row r="110" spans="1:26" x14ac:dyDescent="0.2">
      <c r="A110" s="43">
        <v>2018</v>
      </c>
      <c r="B110" s="44" t="s">
        <v>316</v>
      </c>
      <c r="C110" s="43" t="s">
        <v>44</v>
      </c>
      <c r="D110" s="43" t="s">
        <v>121</v>
      </c>
      <c r="E110" s="43">
        <v>56982</v>
      </c>
      <c r="F110" s="43"/>
      <c r="G110" s="43">
        <v>11396</v>
      </c>
      <c r="O110" s="41">
        <f t="shared" si="8"/>
        <v>33524</v>
      </c>
      <c r="Q110" s="41">
        <v>2488823</v>
      </c>
      <c r="R110" s="41">
        <f t="shared" si="6"/>
        <v>497764.60000000003</v>
      </c>
      <c r="U110" s="41">
        <v>2018</v>
      </c>
      <c r="V110" s="41" t="s">
        <v>316</v>
      </c>
      <c r="W110" s="41" t="s">
        <v>44</v>
      </c>
      <c r="X110" s="41" t="s">
        <v>122</v>
      </c>
      <c r="Y110" s="41">
        <v>47025</v>
      </c>
      <c r="Z110" s="41">
        <v>47641</v>
      </c>
    </row>
    <row r="111" spans="1:26" x14ac:dyDescent="0.2">
      <c r="A111" s="44">
        <v>2018</v>
      </c>
      <c r="B111" s="44" t="s">
        <v>316</v>
      </c>
      <c r="C111" s="44" t="s">
        <v>44</v>
      </c>
      <c r="D111" s="44" t="s">
        <v>122</v>
      </c>
      <c r="E111" s="44">
        <v>47025</v>
      </c>
      <c r="F111" s="44"/>
      <c r="G111" s="44">
        <v>9405</v>
      </c>
      <c r="O111" s="41">
        <f t="shared" si="8"/>
        <v>33389</v>
      </c>
      <c r="Q111" s="41">
        <v>2131687</v>
      </c>
      <c r="R111" s="41">
        <f t="shared" si="6"/>
        <v>426337.4</v>
      </c>
      <c r="U111" s="41">
        <v>2018</v>
      </c>
      <c r="V111" s="41" t="s">
        <v>316</v>
      </c>
      <c r="W111" s="41" t="s">
        <v>44</v>
      </c>
      <c r="X111" s="41" t="s">
        <v>123</v>
      </c>
      <c r="Y111" s="41">
        <v>34603</v>
      </c>
      <c r="Z111" s="41">
        <v>35054</v>
      </c>
    </row>
    <row r="112" spans="1:26" x14ac:dyDescent="0.2">
      <c r="A112" s="43">
        <v>2018</v>
      </c>
      <c r="B112" s="44" t="s">
        <v>316</v>
      </c>
      <c r="C112" s="43" t="s">
        <v>44</v>
      </c>
      <c r="D112" s="43" t="s">
        <v>123</v>
      </c>
      <c r="E112" s="43">
        <v>34603</v>
      </c>
      <c r="F112" s="43"/>
      <c r="G112" s="43">
        <v>6921</v>
      </c>
      <c r="O112" s="41">
        <f t="shared" si="8"/>
        <v>27111</v>
      </c>
      <c r="Q112" s="41">
        <v>1731088</v>
      </c>
      <c r="R112" s="41">
        <f t="shared" si="6"/>
        <v>346217.60000000003</v>
      </c>
      <c r="U112" s="41">
        <v>2018</v>
      </c>
      <c r="V112" s="41" t="s">
        <v>316</v>
      </c>
      <c r="W112" s="41" t="s">
        <v>44</v>
      </c>
      <c r="X112" s="41" t="s">
        <v>124</v>
      </c>
      <c r="Y112" s="41">
        <v>27899</v>
      </c>
      <c r="Z112" s="41">
        <v>29822</v>
      </c>
    </row>
    <row r="113" spans="1:27" x14ac:dyDescent="0.2">
      <c r="A113" s="44">
        <v>2018</v>
      </c>
      <c r="B113" s="44" t="s">
        <v>316</v>
      </c>
      <c r="C113" s="44" t="s">
        <v>44</v>
      </c>
      <c r="D113" s="44" t="s">
        <v>124</v>
      </c>
      <c r="E113" s="44">
        <v>27899</v>
      </c>
      <c r="F113" s="44"/>
      <c r="G113" s="44">
        <v>5580</v>
      </c>
      <c r="O113" s="41">
        <f t="shared" si="8"/>
        <v>21016</v>
      </c>
      <c r="Q113" s="41">
        <v>1398602</v>
      </c>
      <c r="R113" s="41">
        <f t="shared" si="6"/>
        <v>279720.40000000002</v>
      </c>
      <c r="U113" s="41">
        <v>2018</v>
      </c>
      <c r="V113" s="41" t="s">
        <v>316</v>
      </c>
      <c r="W113" s="41" t="s">
        <v>44</v>
      </c>
      <c r="X113" s="41" t="s">
        <v>127</v>
      </c>
      <c r="Y113" s="41">
        <v>20643</v>
      </c>
      <c r="Z113" s="41">
        <v>23018</v>
      </c>
    </row>
    <row r="114" spans="1:27" x14ac:dyDescent="0.2">
      <c r="A114" s="43">
        <v>2018</v>
      </c>
      <c r="B114" s="44" t="s">
        <v>316</v>
      </c>
      <c r="C114" s="43" t="s">
        <v>44</v>
      </c>
      <c r="D114" s="43" t="s">
        <v>127</v>
      </c>
      <c r="E114" s="43">
        <v>20643</v>
      </c>
      <c r="F114" s="43">
        <v>0.1</v>
      </c>
      <c r="G114" s="43">
        <v>4129</v>
      </c>
      <c r="O114" s="41">
        <f t="shared" si="8"/>
        <v>14710</v>
      </c>
      <c r="Q114" s="41">
        <v>1147992</v>
      </c>
      <c r="R114" s="41">
        <f t="shared" si="6"/>
        <v>229598.40000000002</v>
      </c>
      <c r="U114" s="41">
        <v>2018</v>
      </c>
      <c r="V114" s="41" t="s">
        <v>316</v>
      </c>
      <c r="W114" s="41" t="s">
        <v>44</v>
      </c>
      <c r="X114" s="41" t="s">
        <v>215</v>
      </c>
      <c r="Y114" s="41">
        <v>16428</v>
      </c>
      <c r="Z114" s="41">
        <v>18217</v>
      </c>
    </row>
    <row r="115" spans="1:27" x14ac:dyDescent="0.2">
      <c r="A115" s="44">
        <v>2018</v>
      </c>
      <c r="B115" s="44" t="s">
        <v>316</v>
      </c>
      <c r="C115" s="44" t="s">
        <v>44</v>
      </c>
      <c r="D115" s="44" t="s">
        <v>215</v>
      </c>
      <c r="E115" s="44">
        <v>16428</v>
      </c>
      <c r="F115" s="44">
        <v>0.1</v>
      </c>
      <c r="G115" s="44">
        <v>3286</v>
      </c>
      <c r="O115" s="41">
        <f t="shared" si="8"/>
        <v>13230</v>
      </c>
      <c r="Q115" s="41">
        <v>947123</v>
      </c>
      <c r="R115" s="41">
        <f t="shared" si="6"/>
        <v>189424.6</v>
      </c>
      <c r="U115" s="41">
        <v>2018</v>
      </c>
      <c r="V115" s="41" t="s">
        <v>316</v>
      </c>
      <c r="W115" s="41" t="s">
        <v>44</v>
      </c>
      <c r="X115" s="41" t="s">
        <v>216</v>
      </c>
      <c r="Y115" s="41">
        <v>12829</v>
      </c>
      <c r="Z115" s="41">
        <v>15407</v>
      </c>
    </row>
    <row r="116" spans="1:27" x14ac:dyDescent="0.2">
      <c r="A116" s="43">
        <v>2018</v>
      </c>
      <c r="B116" s="44" t="s">
        <v>316</v>
      </c>
      <c r="C116" s="43" t="s">
        <v>44</v>
      </c>
      <c r="D116" s="43" t="s">
        <v>216</v>
      </c>
      <c r="E116" s="43">
        <v>12829</v>
      </c>
      <c r="F116" s="43">
        <v>0.1</v>
      </c>
      <c r="G116" s="43">
        <v>2566</v>
      </c>
      <c r="O116" s="41">
        <f t="shared" si="8"/>
        <v>11396</v>
      </c>
      <c r="Q116" s="41">
        <v>2825703</v>
      </c>
      <c r="R116" s="41">
        <f t="shared" si="6"/>
        <v>565140.6</v>
      </c>
      <c r="U116" s="41">
        <v>2018</v>
      </c>
      <c r="V116" s="41" t="s">
        <v>316</v>
      </c>
      <c r="W116" s="41" t="s">
        <v>44</v>
      </c>
      <c r="X116" s="41" t="s">
        <v>326</v>
      </c>
      <c r="Y116" s="41">
        <v>9325</v>
      </c>
      <c r="Z116" s="41">
        <v>11282</v>
      </c>
    </row>
    <row r="117" spans="1:27" x14ac:dyDescent="0.2">
      <c r="A117" s="44">
        <v>2018</v>
      </c>
      <c r="B117" s="44" t="s">
        <v>316</v>
      </c>
      <c r="C117" s="44" t="s">
        <v>44</v>
      </c>
      <c r="D117" s="44" t="s">
        <v>326</v>
      </c>
      <c r="E117" s="44">
        <v>9325</v>
      </c>
      <c r="F117" s="44">
        <v>0.1</v>
      </c>
      <c r="G117" s="44">
        <v>1865</v>
      </c>
      <c r="O117" s="41">
        <f t="shared" si="8"/>
        <v>9405</v>
      </c>
      <c r="Q117" s="41">
        <v>2719700</v>
      </c>
      <c r="R117" s="41">
        <f t="shared" si="6"/>
        <v>543940</v>
      </c>
      <c r="U117" s="41">
        <v>2018</v>
      </c>
      <c r="V117" s="41" t="s">
        <v>316</v>
      </c>
      <c r="W117" s="41" t="s">
        <v>44</v>
      </c>
      <c r="X117" s="41" t="s">
        <v>327</v>
      </c>
      <c r="Y117" s="41">
        <v>7380</v>
      </c>
      <c r="Z117" s="41">
        <v>8966</v>
      </c>
    </row>
    <row r="118" spans="1:27" x14ac:dyDescent="0.2">
      <c r="A118" s="43">
        <v>2018</v>
      </c>
      <c r="B118" s="44" t="s">
        <v>316</v>
      </c>
      <c r="C118" s="43" t="s">
        <v>44</v>
      </c>
      <c r="D118" s="43" t="s">
        <v>327</v>
      </c>
      <c r="E118" s="43">
        <v>7380</v>
      </c>
      <c r="F118" s="43">
        <v>0.1</v>
      </c>
      <c r="G118" s="43">
        <v>1476</v>
      </c>
      <c r="O118" s="41">
        <f t="shared" si="8"/>
        <v>6921</v>
      </c>
      <c r="Q118" s="41">
        <v>2603685</v>
      </c>
      <c r="R118" s="41">
        <f t="shared" si="6"/>
        <v>520737</v>
      </c>
      <c r="U118" s="41">
        <v>2018</v>
      </c>
      <c r="V118" s="41" t="s">
        <v>316</v>
      </c>
      <c r="W118" s="41" t="s">
        <v>44</v>
      </c>
      <c r="X118" s="41" t="s">
        <v>328</v>
      </c>
      <c r="Y118" s="41">
        <v>4282</v>
      </c>
      <c r="Z118" s="41">
        <v>5468</v>
      </c>
    </row>
    <row r="119" spans="1:27" x14ac:dyDescent="0.2">
      <c r="A119" s="44">
        <v>2018</v>
      </c>
      <c r="B119" s="44" t="s">
        <v>316</v>
      </c>
      <c r="C119" s="44" t="s">
        <v>44</v>
      </c>
      <c r="D119" s="44" t="s">
        <v>328</v>
      </c>
      <c r="E119" s="44">
        <v>4282</v>
      </c>
      <c r="F119" s="44">
        <v>0.1</v>
      </c>
      <c r="G119" s="44">
        <v>856</v>
      </c>
      <c r="O119" s="41">
        <f t="shared" si="8"/>
        <v>5580</v>
      </c>
      <c r="Q119" s="41">
        <v>2555420</v>
      </c>
      <c r="R119" s="41">
        <f t="shared" si="6"/>
        <v>511084</v>
      </c>
      <c r="U119" s="41">
        <v>2018</v>
      </c>
      <c r="V119" s="41" t="s">
        <v>316</v>
      </c>
      <c r="W119" s="41" t="s">
        <v>44</v>
      </c>
      <c r="X119" s="41" t="s">
        <v>329</v>
      </c>
      <c r="Y119" s="41">
        <v>2899</v>
      </c>
      <c r="Z119" s="41">
        <v>3692</v>
      </c>
    </row>
    <row r="120" spans="1:27" x14ac:dyDescent="0.2">
      <c r="A120" s="43">
        <v>2018</v>
      </c>
      <c r="B120" s="44" t="s">
        <v>316</v>
      </c>
      <c r="C120" s="43" t="s">
        <v>44</v>
      </c>
      <c r="D120" s="43" t="s">
        <v>329</v>
      </c>
      <c r="E120" s="43">
        <v>2899</v>
      </c>
      <c r="F120" s="43">
        <v>0.1</v>
      </c>
      <c r="G120" s="43">
        <v>580</v>
      </c>
      <c r="O120" s="41">
        <f t="shared" si="8"/>
        <v>4129</v>
      </c>
      <c r="Q120" s="41">
        <v>2550570</v>
      </c>
      <c r="R120" s="41">
        <f t="shared" si="6"/>
        <v>510114</v>
      </c>
      <c r="U120" s="41">
        <v>2018</v>
      </c>
      <c r="V120" s="41" t="s">
        <v>316</v>
      </c>
      <c r="W120" s="41" t="s">
        <v>44</v>
      </c>
      <c r="X120" s="41" t="s">
        <v>330</v>
      </c>
      <c r="Y120" s="41">
        <v>468</v>
      </c>
      <c r="Z120" s="41">
        <v>539</v>
      </c>
    </row>
    <row r="121" spans="1:27" x14ac:dyDescent="0.2">
      <c r="A121" s="44">
        <v>2018</v>
      </c>
      <c r="B121" s="44" t="s">
        <v>316</v>
      </c>
      <c r="C121" s="44" t="s">
        <v>44</v>
      </c>
      <c r="D121" s="44" t="s">
        <v>330</v>
      </c>
      <c r="E121" s="44">
        <v>468</v>
      </c>
      <c r="F121" s="44">
        <v>0.1</v>
      </c>
      <c r="G121" s="44">
        <v>94</v>
      </c>
      <c r="O121" s="41">
        <f t="shared" si="8"/>
        <v>3286</v>
      </c>
      <c r="Q121" s="41">
        <v>2550351</v>
      </c>
      <c r="R121" s="41">
        <f t="shared" si="6"/>
        <v>510070.2</v>
      </c>
      <c r="V121" s="41" t="s">
        <v>318</v>
      </c>
      <c r="Y121" s="41">
        <f>SUM(Y102:Y120)</f>
        <v>1113553</v>
      </c>
      <c r="Z121" s="41">
        <f>SUM(Z102:Z120)</f>
        <v>1174158</v>
      </c>
      <c r="AA121" s="41">
        <f>SUM(Y121:Z121)</f>
        <v>2287711</v>
      </c>
    </row>
    <row r="122" spans="1:27" x14ac:dyDescent="0.2">
      <c r="A122" s="44">
        <v>2018</v>
      </c>
      <c r="B122" s="44" t="s">
        <v>316</v>
      </c>
      <c r="C122" s="44" t="s">
        <v>43</v>
      </c>
      <c r="D122" s="44" t="s">
        <v>197</v>
      </c>
      <c r="E122" s="44">
        <v>161193</v>
      </c>
      <c r="F122" s="44"/>
      <c r="G122" s="44">
        <v>32239</v>
      </c>
      <c r="O122" s="41">
        <f t="shared" si="8"/>
        <v>2566</v>
      </c>
      <c r="Q122" s="41">
        <v>2394266</v>
      </c>
      <c r="R122" s="41">
        <f t="shared" si="6"/>
        <v>478853.2</v>
      </c>
      <c r="Y122" s="41" t="s">
        <v>324</v>
      </c>
    </row>
    <row r="123" spans="1:27" x14ac:dyDescent="0.2">
      <c r="A123" s="43">
        <v>2018</v>
      </c>
      <c r="B123" s="43" t="s">
        <v>316</v>
      </c>
      <c r="C123" s="43" t="s">
        <v>43</v>
      </c>
      <c r="D123" s="43" t="s">
        <v>125</v>
      </c>
      <c r="E123" s="43">
        <v>172222</v>
      </c>
      <c r="F123" s="43"/>
      <c r="G123" s="43">
        <v>34444</v>
      </c>
      <c r="O123" s="41">
        <f t="shared" si="8"/>
        <v>1865</v>
      </c>
      <c r="Q123" s="41">
        <v>2039776</v>
      </c>
      <c r="R123" s="41">
        <f t="shared" si="6"/>
        <v>407955.20000000001</v>
      </c>
      <c r="U123" s="41">
        <v>2018</v>
      </c>
      <c r="V123" s="41" t="s">
        <v>316</v>
      </c>
      <c r="W123" s="41" t="s">
        <v>43</v>
      </c>
      <c r="X123" s="41" t="s">
        <v>197</v>
      </c>
      <c r="Y123" s="41">
        <v>161193</v>
      </c>
    </row>
    <row r="124" spans="1:27" x14ac:dyDescent="0.2">
      <c r="A124" s="44">
        <v>2018</v>
      </c>
      <c r="B124" s="44" t="s">
        <v>316</v>
      </c>
      <c r="C124" s="44" t="s">
        <v>43</v>
      </c>
      <c r="D124" s="44" t="s">
        <v>126</v>
      </c>
      <c r="E124" s="44">
        <v>173170</v>
      </c>
      <c r="F124" s="44"/>
      <c r="G124" s="44">
        <v>34634</v>
      </c>
      <c r="O124" s="41">
        <f t="shared" si="8"/>
        <v>1476</v>
      </c>
      <c r="Q124" s="41">
        <v>1745050</v>
      </c>
      <c r="R124" s="41">
        <f t="shared" si="6"/>
        <v>349010</v>
      </c>
      <c r="U124" s="41">
        <v>2018</v>
      </c>
      <c r="V124" s="41" t="s">
        <v>316</v>
      </c>
      <c r="W124" s="41" t="s">
        <v>43</v>
      </c>
      <c r="X124" s="41" t="s">
        <v>125</v>
      </c>
      <c r="Y124" s="41">
        <v>172222</v>
      </c>
    </row>
    <row r="125" spans="1:27" x14ac:dyDescent="0.2">
      <c r="A125" s="43">
        <v>2018</v>
      </c>
      <c r="B125" s="43" t="s">
        <v>316</v>
      </c>
      <c r="C125" s="43" t="s">
        <v>43</v>
      </c>
      <c r="D125" s="43" t="s">
        <v>117</v>
      </c>
      <c r="E125" s="43">
        <v>139300</v>
      </c>
      <c r="F125" s="43"/>
      <c r="G125" s="43">
        <v>27860</v>
      </c>
      <c r="O125" s="41">
        <f t="shared" si="8"/>
        <v>856</v>
      </c>
      <c r="Q125" s="41">
        <v>1541175</v>
      </c>
      <c r="R125" s="41">
        <f t="shared" si="6"/>
        <v>308235</v>
      </c>
      <c r="U125" s="41">
        <v>2018</v>
      </c>
      <c r="V125" s="41" t="s">
        <v>316</v>
      </c>
      <c r="W125" s="41" t="s">
        <v>43</v>
      </c>
      <c r="X125" s="41" t="s">
        <v>126</v>
      </c>
      <c r="Y125" s="41">
        <v>173170</v>
      </c>
    </row>
    <row r="126" spans="1:27" x14ac:dyDescent="0.2">
      <c r="A126" s="44">
        <v>2018</v>
      </c>
      <c r="B126" s="44" t="s">
        <v>316</v>
      </c>
      <c r="C126" s="44" t="s">
        <v>43</v>
      </c>
      <c r="D126" s="44" t="s">
        <v>118</v>
      </c>
      <c r="E126" s="44">
        <v>114551</v>
      </c>
      <c r="F126" s="44"/>
      <c r="G126" s="44">
        <v>22910</v>
      </c>
      <c r="O126" s="41">
        <f t="shared" si="8"/>
        <v>580</v>
      </c>
      <c r="Q126" s="41">
        <v>1348848</v>
      </c>
      <c r="R126" s="41">
        <f t="shared" si="6"/>
        <v>269769.60000000003</v>
      </c>
      <c r="U126" s="41">
        <v>2018</v>
      </c>
      <c r="V126" s="41" t="s">
        <v>316</v>
      </c>
      <c r="W126" s="41" t="s">
        <v>43</v>
      </c>
      <c r="X126" s="41" t="s">
        <v>117</v>
      </c>
      <c r="Y126" s="41">
        <v>139300</v>
      </c>
    </row>
    <row r="127" spans="1:27" x14ac:dyDescent="0.2">
      <c r="A127" s="43">
        <v>2018</v>
      </c>
      <c r="B127" s="43" t="s">
        <v>316</v>
      </c>
      <c r="C127" s="43" t="s">
        <v>43</v>
      </c>
      <c r="D127" s="43" t="s">
        <v>119</v>
      </c>
      <c r="E127" s="43">
        <v>80835</v>
      </c>
      <c r="F127" s="43"/>
      <c r="G127" s="43">
        <v>16167</v>
      </c>
      <c r="O127" s="41">
        <f t="shared" si="8"/>
        <v>94</v>
      </c>
      <c r="Q127" s="41">
        <v>1160340</v>
      </c>
      <c r="R127" s="41">
        <f t="shared" si="6"/>
        <v>232068</v>
      </c>
      <c r="U127" s="41">
        <v>2018</v>
      </c>
      <c r="V127" s="41" t="s">
        <v>316</v>
      </c>
      <c r="W127" s="41" t="s">
        <v>43</v>
      </c>
      <c r="X127" s="41" t="s">
        <v>118</v>
      </c>
      <c r="Y127" s="41">
        <v>114551</v>
      </c>
    </row>
    <row r="128" spans="1:27" x14ac:dyDescent="0.2">
      <c r="A128" s="44">
        <v>2018</v>
      </c>
      <c r="B128" s="44" t="s">
        <v>316</v>
      </c>
      <c r="C128" s="44" t="s">
        <v>43</v>
      </c>
      <c r="D128" s="44" t="s">
        <v>120</v>
      </c>
      <c r="E128" s="44">
        <v>73189</v>
      </c>
      <c r="F128" s="44"/>
      <c r="G128" s="44">
        <v>14638</v>
      </c>
      <c r="O128" s="41" t="e">
        <f>ROUND(0.2*#REF!,0)</f>
        <v>#REF!</v>
      </c>
      <c r="U128" s="41">
        <v>2018</v>
      </c>
      <c r="V128" s="41" t="s">
        <v>316</v>
      </c>
      <c r="W128" s="41" t="s">
        <v>43</v>
      </c>
      <c r="X128" s="41" t="s">
        <v>119</v>
      </c>
      <c r="Y128" s="41">
        <v>80835</v>
      </c>
    </row>
    <row r="129" spans="1:26" x14ac:dyDescent="0.2">
      <c r="A129" s="43">
        <v>2018</v>
      </c>
      <c r="B129" s="43" t="s">
        <v>316</v>
      </c>
      <c r="C129" s="43" t="s">
        <v>43</v>
      </c>
      <c r="D129" s="43" t="s">
        <v>121</v>
      </c>
      <c r="E129" s="43">
        <v>60592</v>
      </c>
      <c r="F129" s="43"/>
      <c r="G129" s="43">
        <v>12118</v>
      </c>
      <c r="O129" s="41">
        <f t="shared" ref="O129:O147" si="9">ROUND(0.2*E122,0)</f>
        <v>32239</v>
      </c>
      <c r="U129" s="41">
        <v>2018</v>
      </c>
      <c r="V129" s="41" t="s">
        <v>316</v>
      </c>
      <c r="W129" s="41" t="s">
        <v>43</v>
      </c>
      <c r="X129" s="41" t="s">
        <v>120</v>
      </c>
      <c r="Y129" s="41">
        <v>73189</v>
      </c>
    </row>
    <row r="130" spans="1:26" x14ac:dyDescent="0.2">
      <c r="A130" s="44">
        <v>2018</v>
      </c>
      <c r="B130" s="44" t="s">
        <v>316</v>
      </c>
      <c r="C130" s="44" t="s">
        <v>43</v>
      </c>
      <c r="D130" s="44" t="s">
        <v>122</v>
      </c>
      <c r="E130" s="44">
        <v>47641</v>
      </c>
      <c r="F130" s="44"/>
      <c r="G130" s="44">
        <v>9528</v>
      </c>
      <c r="O130" s="41">
        <f t="shared" si="9"/>
        <v>34444</v>
      </c>
      <c r="U130" s="41">
        <v>2018</v>
      </c>
      <c r="V130" s="41" t="s">
        <v>316</v>
      </c>
      <c r="W130" s="41" t="s">
        <v>43</v>
      </c>
      <c r="X130" s="41" t="s">
        <v>121</v>
      </c>
      <c r="Y130" s="41">
        <v>60592</v>
      </c>
    </row>
    <row r="131" spans="1:26" x14ac:dyDescent="0.2">
      <c r="A131" s="43">
        <v>2018</v>
      </c>
      <c r="B131" s="43" t="s">
        <v>316</v>
      </c>
      <c r="C131" s="43" t="s">
        <v>43</v>
      </c>
      <c r="D131" s="43" t="s">
        <v>123</v>
      </c>
      <c r="E131" s="43">
        <v>35054</v>
      </c>
      <c r="F131" s="43"/>
      <c r="G131" s="43">
        <v>7011</v>
      </c>
      <c r="O131" s="41">
        <f t="shared" si="9"/>
        <v>34634</v>
      </c>
      <c r="U131" s="41">
        <v>2018</v>
      </c>
      <c r="V131" s="41" t="s">
        <v>316</v>
      </c>
      <c r="W131" s="41" t="s">
        <v>43</v>
      </c>
      <c r="X131" s="41" t="s">
        <v>122</v>
      </c>
      <c r="Y131" s="41">
        <v>47641</v>
      </c>
    </row>
    <row r="132" spans="1:26" x14ac:dyDescent="0.2">
      <c r="A132" s="44">
        <v>2018</v>
      </c>
      <c r="B132" s="44" t="s">
        <v>316</v>
      </c>
      <c r="C132" s="44" t="s">
        <v>43</v>
      </c>
      <c r="D132" s="44" t="s">
        <v>124</v>
      </c>
      <c r="E132" s="44">
        <v>29822</v>
      </c>
      <c r="F132" s="44"/>
      <c r="G132" s="44">
        <v>5964</v>
      </c>
      <c r="O132" s="41">
        <f t="shared" si="9"/>
        <v>27860</v>
      </c>
      <c r="U132" s="41">
        <v>2018</v>
      </c>
      <c r="V132" s="41" t="s">
        <v>316</v>
      </c>
      <c r="W132" s="41" t="s">
        <v>43</v>
      </c>
      <c r="X132" s="41" t="s">
        <v>123</v>
      </c>
      <c r="Y132" s="41">
        <v>35054</v>
      </c>
    </row>
    <row r="133" spans="1:26" x14ac:dyDescent="0.2">
      <c r="A133" s="43">
        <v>2018</v>
      </c>
      <c r="B133" s="43" t="s">
        <v>316</v>
      </c>
      <c r="C133" s="43" t="s">
        <v>43</v>
      </c>
      <c r="D133" s="43" t="s">
        <v>127</v>
      </c>
      <c r="E133" s="43">
        <v>23018</v>
      </c>
      <c r="F133" s="43">
        <v>0.1</v>
      </c>
      <c r="G133" s="43">
        <v>4604</v>
      </c>
      <c r="I133" s="41" t="s">
        <v>211</v>
      </c>
      <c r="O133" s="41">
        <f t="shared" si="9"/>
        <v>22910</v>
      </c>
      <c r="U133" s="41">
        <v>2018</v>
      </c>
      <c r="V133" s="41" t="s">
        <v>316</v>
      </c>
      <c r="W133" s="41" t="s">
        <v>43</v>
      </c>
      <c r="X133" s="41" t="s">
        <v>124</v>
      </c>
      <c r="Y133" s="41">
        <v>29822</v>
      </c>
    </row>
    <row r="134" spans="1:26" x14ac:dyDescent="0.2">
      <c r="A134" s="44">
        <v>2018</v>
      </c>
      <c r="B134" s="44" t="s">
        <v>316</v>
      </c>
      <c r="C134" s="44" t="s">
        <v>43</v>
      </c>
      <c r="D134" s="44" t="s">
        <v>215</v>
      </c>
      <c r="E134" s="44">
        <v>18217</v>
      </c>
      <c r="F134" s="44">
        <v>0.1</v>
      </c>
      <c r="G134" s="44">
        <v>3643</v>
      </c>
      <c r="O134" s="41">
        <f t="shared" si="9"/>
        <v>16167</v>
      </c>
      <c r="U134" s="41">
        <v>2018</v>
      </c>
      <c r="V134" s="41" t="s">
        <v>316</v>
      </c>
      <c r="W134" s="41" t="s">
        <v>43</v>
      </c>
      <c r="X134" s="41" t="s">
        <v>127</v>
      </c>
      <c r="Y134" s="41">
        <v>23018</v>
      </c>
    </row>
    <row r="135" spans="1:26" x14ac:dyDescent="0.2">
      <c r="A135" s="43">
        <v>2018</v>
      </c>
      <c r="B135" s="43" t="s">
        <v>316</v>
      </c>
      <c r="C135" s="43" t="s">
        <v>43</v>
      </c>
      <c r="D135" s="43" t="s">
        <v>216</v>
      </c>
      <c r="E135" s="43">
        <v>15407</v>
      </c>
      <c r="F135" s="43">
        <v>0.1</v>
      </c>
      <c r="G135" s="43">
        <v>3081</v>
      </c>
      <c r="O135" s="41">
        <f t="shared" si="9"/>
        <v>14638</v>
      </c>
      <c r="U135" s="41">
        <v>2018</v>
      </c>
      <c r="V135" s="41" t="s">
        <v>316</v>
      </c>
      <c r="W135" s="41" t="s">
        <v>43</v>
      </c>
      <c r="X135" s="41" t="s">
        <v>215</v>
      </c>
      <c r="Y135" s="41">
        <v>18217</v>
      </c>
    </row>
    <row r="136" spans="1:26" x14ac:dyDescent="0.2">
      <c r="A136" s="44">
        <v>2018</v>
      </c>
      <c r="B136" s="44" t="s">
        <v>316</v>
      </c>
      <c r="C136" s="44" t="s">
        <v>43</v>
      </c>
      <c r="D136" s="44" t="s">
        <v>326</v>
      </c>
      <c r="E136" s="44">
        <v>11282</v>
      </c>
      <c r="F136" s="44">
        <v>0.1</v>
      </c>
      <c r="G136" s="44">
        <v>2256</v>
      </c>
      <c r="O136" s="41">
        <f t="shared" si="9"/>
        <v>12118</v>
      </c>
      <c r="U136" s="41">
        <v>2018</v>
      </c>
      <c r="V136" s="41" t="s">
        <v>316</v>
      </c>
      <c r="W136" s="41" t="s">
        <v>43</v>
      </c>
      <c r="X136" s="41" t="s">
        <v>216</v>
      </c>
      <c r="Y136" s="41">
        <v>15407</v>
      </c>
    </row>
    <row r="137" spans="1:26" x14ac:dyDescent="0.2">
      <c r="A137" s="43">
        <v>2018</v>
      </c>
      <c r="B137" s="43" t="s">
        <v>316</v>
      </c>
      <c r="C137" s="43" t="s">
        <v>43</v>
      </c>
      <c r="D137" s="43" t="s">
        <v>327</v>
      </c>
      <c r="E137" s="43">
        <v>8966</v>
      </c>
      <c r="F137" s="43">
        <v>0.1</v>
      </c>
      <c r="G137" s="43">
        <v>1793</v>
      </c>
      <c r="O137" s="41">
        <f t="shared" si="9"/>
        <v>9528</v>
      </c>
      <c r="U137" s="41">
        <v>2018</v>
      </c>
      <c r="V137" s="41" t="s">
        <v>316</v>
      </c>
      <c r="W137" s="41" t="s">
        <v>43</v>
      </c>
      <c r="X137" s="41" t="s">
        <v>326</v>
      </c>
      <c r="Y137" s="41">
        <v>11282</v>
      </c>
    </row>
    <row r="138" spans="1:26" x14ac:dyDescent="0.2">
      <c r="A138" s="44">
        <v>2018</v>
      </c>
      <c r="B138" s="44" t="s">
        <v>316</v>
      </c>
      <c r="C138" s="44" t="s">
        <v>43</v>
      </c>
      <c r="D138" s="44" t="s">
        <v>328</v>
      </c>
      <c r="E138" s="44">
        <v>5468</v>
      </c>
      <c r="F138" s="44">
        <v>0.1</v>
      </c>
      <c r="G138" s="44">
        <v>1094</v>
      </c>
      <c r="O138" s="41">
        <f t="shared" si="9"/>
        <v>7011</v>
      </c>
      <c r="U138" s="41">
        <v>2018</v>
      </c>
      <c r="V138" s="41" t="s">
        <v>316</v>
      </c>
      <c r="W138" s="41" t="s">
        <v>43</v>
      </c>
      <c r="X138" s="41" t="s">
        <v>327</v>
      </c>
      <c r="Y138" s="41">
        <v>8966</v>
      </c>
    </row>
    <row r="139" spans="1:26" x14ac:dyDescent="0.2">
      <c r="A139" s="43">
        <v>2018</v>
      </c>
      <c r="B139" s="43" t="s">
        <v>316</v>
      </c>
      <c r="C139" s="43" t="s">
        <v>43</v>
      </c>
      <c r="D139" s="43" t="s">
        <v>329</v>
      </c>
      <c r="E139" s="43">
        <v>3692</v>
      </c>
      <c r="F139" s="43">
        <v>0.1</v>
      </c>
      <c r="G139" s="43">
        <v>738</v>
      </c>
      <c r="O139" s="41">
        <f t="shared" si="9"/>
        <v>5964</v>
      </c>
      <c r="U139" s="41">
        <v>2018</v>
      </c>
      <c r="V139" s="41" t="s">
        <v>316</v>
      </c>
      <c r="W139" s="41" t="s">
        <v>43</v>
      </c>
      <c r="X139" s="41" t="s">
        <v>328</v>
      </c>
      <c r="Y139" s="41">
        <v>5468</v>
      </c>
    </row>
    <row r="140" spans="1:26" x14ac:dyDescent="0.2">
      <c r="A140" s="44">
        <v>2018</v>
      </c>
      <c r="B140" s="44" t="s">
        <v>316</v>
      </c>
      <c r="C140" s="44" t="s">
        <v>43</v>
      </c>
      <c r="D140" s="44" t="s">
        <v>330</v>
      </c>
      <c r="E140" s="44">
        <v>539</v>
      </c>
      <c r="F140" s="44">
        <v>0.1</v>
      </c>
      <c r="G140" s="44">
        <v>108</v>
      </c>
      <c r="O140" s="41">
        <f t="shared" si="9"/>
        <v>4604</v>
      </c>
      <c r="U140" s="41">
        <v>2018</v>
      </c>
      <c r="V140" s="41" t="s">
        <v>316</v>
      </c>
      <c r="W140" s="41" t="s">
        <v>43</v>
      </c>
      <c r="X140" s="41" t="s">
        <v>329</v>
      </c>
      <c r="Y140" s="41">
        <v>3692</v>
      </c>
    </row>
    <row r="141" spans="1:26" x14ac:dyDescent="0.2">
      <c r="A141" s="44">
        <v>2018</v>
      </c>
      <c r="B141" s="44" t="s">
        <v>317</v>
      </c>
      <c r="C141" s="44" t="s">
        <v>44</v>
      </c>
      <c r="D141" s="44" t="s">
        <v>197</v>
      </c>
      <c r="E141" s="44">
        <v>539804</v>
      </c>
      <c r="F141" s="44"/>
      <c r="G141" s="44">
        <v>107961</v>
      </c>
      <c r="O141" s="41">
        <f t="shared" si="9"/>
        <v>3643</v>
      </c>
      <c r="U141" s="41">
        <v>2018</v>
      </c>
      <c r="V141" s="41" t="s">
        <v>316</v>
      </c>
      <c r="W141" s="41" t="s">
        <v>43</v>
      </c>
      <c r="X141" s="41" t="s">
        <v>330</v>
      </c>
      <c r="Y141" s="41">
        <v>539</v>
      </c>
    </row>
    <row r="142" spans="1:26" x14ac:dyDescent="0.2">
      <c r="A142" s="43">
        <v>2018</v>
      </c>
      <c r="B142" s="43" t="s">
        <v>317</v>
      </c>
      <c r="C142" s="43" t="s">
        <v>44</v>
      </c>
      <c r="D142" s="43" t="s">
        <v>125</v>
      </c>
      <c r="E142" s="43">
        <v>547491</v>
      </c>
      <c r="F142" s="43"/>
      <c r="G142" s="43">
        <v>109498</v>
      </c>
      <c r="O142" s="41">
        <f t="shared" si="9"/>
        <v>3081</v>
      </c>
      <c r="W142" s="41" t="s">
        <v>211</v>
      </c>
    </row>
    <row r="143" spans="1:26" x14ac:dyDescent="0.2">
      <c r="A143" s="44">
        <v>2018</v>
      </c>
      <c r="B143" s="44" t="s">
        <v>317</v>
      </c>
      <c r="C143" s="44" t="s">
        <v>44</v>
      </c>
      <c r="D143" s="44" t="s">
        <v>126</v>
      </c>
      <c r="E143" s="44">
        <v>524219</v>
      </c>
      <c r="F143" s="44"/>
      <c r="G143" s="44">
        <v>104844</v>
      </c>
      <c r="O143" s="41">
        <f t="shared" si="9"/>
        <v>2256</v>
      </c>
      <c r="Y143" s="41" t="s">
        <v>323</v>
      </c>
      <c r="Z143" s="41" t="s">
        <v>324</v>
      </c>
    </row>
    <row r="144" spans="1:26" x14ac:dyDescent="0.2">
      <c r="A144" s="43">
        <v>2018</v>
      </c>
      <c r="B144" s="43" t="s">
        <v>317</v>
      </c>
      <c r="C144" s="43" t="s">
        <v>44</v>
      </c>
      <c r="D144" s="43" t="s">
        <v>117</v>
      </c>
      <c r="E144" s="43">
        <v>423078</v>
      </c>
      <c r="F144" s="43"/>
      <c r="G144" s="43">
        <v>84616</v>
      </c>
      <c r="O144" s="41">
        <f t="shared" si="9"/>
        <v>1793</v>
      </c>
      <c r="U144" s="41">
        <v>2018</v>
      </c>
      <c r="V144" s="41" t="s">
        <v>317</v>
      </c>
      <c r="W144" s="41" t="s">
        <v>44</v>
      </c>
      <c r="X144" s="41" t="s">
        <v>197</v>
      </c>
      <c r="Y144" s="41">
        <v>539804</v>
      </c>
      <c r="Z144" s="41">
        <v>549386</v>
      </c>
    </row>
    <row r="145" spans="1:26" x14ac:dyDescent="0.2">
      <c r="A145" s="44">
        <v>2018</v>
      </c>
      <c r="B145" s="44" t="s">
        <v>317</v>
      </c>
      <c r="C145" s="44" t="s">
        <v>44</v>
      </c>
      <c r="D145" s="44" t="s">
        <v>118</v>
      </c>
      <c r="E145" s="44">
        <v>348231</v>
      </c>
      <c r="F145" s="44"/>
      <c r="G145" s="44">
        <v>69646</v>
      </c>
      <c r="O145" s="41">
        <f t="shared" si="9"/>
        <v>1094</v>
      </c>
      <c r="U145" s="41">
        <v>2018</v>
      </c>
      <c r="V145" s="41" t="s">
        <v>317</v>
      </c>
      <c r="W145" s="41" t="s">
        <v>44</v>
      </c>
      <c r="X145" s="41" t="s">
        <v>125</v>
      </c>
      <c r="Y145" s="41">
        <v>547491</v>
      </c>
      <c r="Z145" s="41">
        <v>562669</v>
      </c>
    </row>
    <row r="146" spans="1:26" x14ac:dyDescent="0.2">
      <c r="A146" s="43">
        <v>2018</v>
      </c>
      <c r="B146" s="43" t="s">
        <v>317</v>
      </c>
      <c r="C146" s="43" t="s">
        <v>44</v>
      </c>
      <c r="D146" s="43" t="s">
        <v>119</v>
      </c>
      <c r="E146" s="43">
        <v>267327</v>
      </c>
      <c r="F146" s="43"/>
      <c r="G146" s="43">
        <v>53465</v>
      </c>
      <c r="O146" s="41">
        <f t="shared" si="9"/>
        <v>738</v>
      </c>
      <c r="U146" s="41">
        <v>2018</v>
      </c>
      <c r="V146" s="41" t="s">
        <v>317</v>
      </c>
      <c r="W146" s="41" t="s">
        <v>44</v>
      </c>
      <c r="X146" s="41" t="s">
        <v>126</v>
      </c>
      <c r="Y146" s="41">
        <v>524219</v>
      </c>
      <c r="Z146" s="41">
        <v>543203</v>
      </c>
    </row>
    <row r="147" spans="1:26" x14ac:dyDescent="0.2">
      <c r="A147" s="44">
        <v>2018</v>
      </c>
      <c r="B147" s="44" t="s">
        <v>317</v>
      </c>
      <c r="C147" s="44" t="s">
        <v>44</v>
      </c>
      <c r="D147" s="44" t="s">
        <v>120</v>
      </c>
      <c r="E147" s="44">
        <v>236729</v>
      </c>
      <c r="F147" s="44"/>
      <c r="G147" s="44">
        <v>47346</v>
      </c>
      <c r="O147" s="41">
        <f t="shared" si="9"/>
        <v>108</v>
      </c>
      <c r="U147" s="41">
        <v>2018</v>
      </c>
      <c r="V147" s="41" t="s">
        <v>317</v>
      </c>
      <c r="W147" s="41" t="s">
        <v>44</v>
      </c>
      <c r="X147" s="41" t="s">
        <v>117</v>
      </c>
      <c r="Y147" s="41">
        <v>423078</v>
      </c>
      <c r="Z147" s="41">
        <v>433794</v>
      </c>
    </row>
    <row r="148" spans="1:26" x14ac:dyDescent="0.2">
      <c r="A148" s="43">
        <v>2018</v>
      </c>
      <c r="B148" s="43" t="s">
        <v>317</v>
      </c>
      <c r="C148" s="43" t="s">
        <v>44</v>
      </c>
      <c r="D148" s="43" t="s">
        <v>121</v>
      </c>
      <c r="E148" s="43">
        <v>206019</v>
      </c>
      <c r="F148" s="43"/>
      <c r="G148" s="43">
        <v>41204</v>
      </c>
      <c r="I148" s="41" t="s">
        <v>211</v>
      </c>
      <c r="J148" s="41" t="s">
        <v>211</v>
      </c>
      <c r="O148" s="41" t="e">
        <f>ROUND(0.2*#REF!,0)</f>
        <v>#REF!</v>
      </c>
      <c r="U148" s="41">
        <v>2018</v>
      </c>
      <c r="V148" s="41" t="s">
        <v>317</v>
      </c>
      <c r="W148" s="41" t="s">
        <v>44</v>
      </c>
      <c r="X148" s="41" t="s">
        <v>118</v>
      </c>
      <c r="Y148" s="41">
        <v>348231</v>
      </c>
      <c r="Z148" s="41">
        <v>380350</v>
      </c>
    </row>
    <row r="149" spans="1:26" x14ac:dyDescent="0.2">
      <c r="A149" s="44">
        <v>2018</v>
      </c>
      <c r="B149" s="44" t="s">
        <v>317</v>
      </c>
      <c r="C149" s="44" t="s">
        <v>44</v>
      </c>
      <c r="D149" s="44" t="s">
        <v>122</v>
      </c>
      <c r="E149" s="44">
        <v>162451</v>
      </c>
      <c r="F149" s="44"/>
      <c r="G149" s="44">
        <v>32490</v>
      </c>
      <c r="O149" s="41">
        <f t="shared" ref="O149:O167" si="10">ROUND(0.2*E141,0)</f>
        <v>107961</v>
      </c>
      <c r="U149" s="41">
        <v>2018</v>
      </c>
      <c r="V149" s="41" t="s">
        <v>317</v>
      </c>
      <c r="W149" s="41" t="s">
        <v>44</v>
      </c>
      <c r="X149" s="41" t="s">
        <v>119</v>
      </c>
      <c r="Y149" s="41">
        <v>267327</v>
      </c>
      <c r="Z149" s="41">
        <v>281250</v>
      </c>
    </row>
    <row r="150" spans="1:26" x14ac:dyDescent="0.2">
      <c r="A150" s="43">
        <v>2018</v>
      </c>
      <c r="B150" s="43" t="s">
        <v>317</v>
      </c>
      <c r="C150" s="43" t="s">
        <v>44</v>
      </c>
      <c r="D150" s="43" t="s">
        <v>123</v>
      </c>
      <c r="E150" s="43">
        <v>121244</v>
      </c>
      <c r="F150" s="43"/>
      <c r="G150" s="43">
        <v>24249</v>
      </c>
      <c r="O150" s="41">
        <f t="shared" si="10"/>
        <v>109498</v>
      </c>
      <c r="U150" s="41">
        <v>2018</v>
      </c>
      <c r="V150" s="41" t="s">
        <v>317</v>
      </c>
      <c r="W150" s="41" t="s">
        <v>44</v>
      </c>
      <c r="X150" s="41" t="s">
        <v>120</v>
      </c>
      <c r="Y150" s="41">
        <v>236729</v>
      </c>
      <c r="Z150" s="41">
        <v>256435</v>
      </c>
    </row>
    <row r="151" spans="1:26" x14ac:dyDescent="0.2">
      <c r="A151" s="44">
        <v>2018</v>
      </c>
      <c r="B151" s="44" t="s">
        <v>317</v>
      </c>
      <c r="C151" s="44" t="s">
        <v>44</v>
      </c>
      <c r="D151" s="44" t="s">
        <v>124</v>
      </c>
      <c r="E151" s="44">
        <v>82752</v>
      </c>
      <c r="F151" s="44"/>
      <c r="G151" s="44">
        <v>16550</v>
      </c>
      <c r="O151" s="41">
        <f t="shared" si="10"/>
        <v>104844</v>
      </c>
      <c r="U151" s="41">
        <v>2018</v>
      </c>
      <c r="V151" s="41" t="s">
        <v>317</v>
      </c>
      <c r="W151" s="41" t="s">
        <v>44</v>
      </c>
      <c r="X151" s="41" t="s">
        <v>121</v>
      </c>
      <c r="Y151" s="41">
        <v>206019</v>
      </c>
      <c r="Z151" s="41">
        <v>211062</v>
      </c>
    </row>
    <row r="152" spans="1:26" x14ac:dyDescent="0.2">
      <c r="A152" s="43">
        <v>2018</v>
      </c>
      <c r="B152" s="43" t="s">
        <v>317</v>
      </c>
      <c r="C152" s="43" t="s">
        <v>44</v>
      </c>
      <c r="D152" s="43" t="s">
        <v>127</v>
      </c>
      <c r="E152" s="43">
        <v>63483</v>
      </c>
      <c r="F152" s="43">
        <v>0.1</v>
      </c>
      <c r="G152" s="43">
        <v>12697</v>
      </c>
      <c r="O152" s="41">
        <f t="shared" si="10"/>
        <v>84616</v>
      </c>
      <c r="U152" s="41">
        <v>2018</v>
      </c>
      <c r="V152" s="41" t="s">
        <v>317</v>
      </c>
      <c r="W152" s="41" t="s">
        <v>44</v>
      </c>
      <c r="X152" s="41" t="s">
        <v>122</v>
      </c>
      <c r="Y152" s="41">
        <v>162451</v>
      </c>
      <c r="Z152" s="41">
        <v>156965</v>
      </c>
    </row>
    <row r="153" spans="1:26" x14ac:dyDescent="0.2">
      <c r="A153" s="44">
        <v>2018</v>
      </c>
      <c r="B153" s="44" t="s">
        <v>317</v>
      </c>
      <c r="C153" s="44" t="s">
        <v>44</v>
      </c>
      <c r="D153" s="44" t="s">
        <v>215</v>
      </c>
      <c r="E153" s="44">
        <v>45611</v>
      </c>
      <c r="F153" s="44">
        <v>0.1</v>
      </c>
      <c r="G153" s="44">
        <v>9122</v>
      </c>
      <c r="O153" s="41">
        <f t="shared" si="10"/>
        <v>69646</v>
      </c>
      <c r="U153" s="41">
        <v>2018</v>
      </c>
      <c r="V153" s="41" t="s">
        <v>317</v>
      </c>
      <c r="W153" s="41" t="s">
        <v>44</v>
      </c>
      <c r="X153" s="41" t="s">
        <v>123</v>
      </c>
      <c r="Y153" s="41">
        <v>121244</v>
      </c>
      <c r="Z153" s="41">
        <v>112939</v>
      </c>
    </row>
    <row r="154" spans="1:26" x14ac:dyDescent="0.2">
      <c r="A154" s="43">
        <v>2018</v>
      </c>
      <c r="B154" s="43" t="s">
        <v>317</v>
      </c>
      <c r="C154" s="43" t="s">
        <v>44</v>
      </c>
      <c r="D154" s="43" t="s">
        <v>216</v>
      </c>
      <c r="E154" s="43">
        <v>43269</v>
      </c>
      <c r="F154" s="43">
        <v>0.1</v>
      </c>
      <c r="G154" s="43">
        <v>8654</v>
      </c>
      <c r="O154" s="41">
        <f t="shared" si="10"/>
        <v>53465</v>
      </c>
      <c r="U154" s="41">
        <v>2018</v>
      </c>
      <c r="V154" s="41" t="s">
        <v>317</v>
      </c>
      <c r="W154" s="41" t="s">
        <v>44</v>
      </c>
      <c r="X154" s="41" t="s">
        <v>124</v>
      </c>
      <c r="Y154" s="41">
        <v>82752</v>
      </c>
      <c r="Z154" s="41">
        <v>84038</v>
      </c>
    </row>
    <row r="155" spans="1:26" x14ac:dyDescent="0.2">
      <c r="A155" s="44">
        <v>2018</v>
      </c>
      <c r="B155" s="44" t="s">
        <v>317</v>
      </c>
      <c r="C155" s="44" t="s">
        <v>44</v>
      </c>
      <c r="D155" s="44" t="s">
        <v>326</v>
      </c>
      <c r="E155" s="44">
        <v>25854</v>
      </c>
      <c r="F155" s="44">
        <v>0.1</v>
      </c>
      <c r="G155" s="44">
        <v>5171</v>
      </c>
      <c r="O155" s="41">
        <f t="shared" si="10"/>
        <v>47346</v>
      </c>
      <c r="U155" s="41">
        <v>2018</v>
      </c>
      <c r="V155" s="41" t="s">
        <v>317</v>
      </c>
      <c r="W155" s="41" t="s">
        <v>44</v>
      </c>
      <c r="X155" s="41" t="s">
        <v>127</v>
      </c>
      <c r="Y155" s="41">
        <v>63483</v>
      </c>
      <c r="Z155" s="41">
        <v>68460</v>
      </c>
    </row>
    <row r="156" spans="1:26" x14ac:dyDescent="0.2">
      <c r="A156" s="43">
        <v>2018</v>
      </c>
      <c r="B156" s="43" t="s">
        <v>317</v>
      </c>
      <c r="C156" s="43" t="s">
        <v>44</v>
      </c>
      <c r="D156" s="43" t="s">
        <v>327</v>
      </c>
      <c r="E156" s="43">
        <v>21201</v>
      </c>
      <c r="F156" s="43">
        <v>0.1</v>
      </c>
      <c r="G156" s="43">
        <v>4240</v>
      </c>
      <c r="O156" s="41">
        <f t="shared" si="10"/>
        <v>41204</v>
      </c>
      <c r="U156" s="41">
        <v>2018</v>
      </c>
      <c r="V156" s="41" t="s">
        <v>317</v>
      </c>
      <c r="W156" s="41" t="s">
        <v>44</v>
      </c>
      <c r="X156" s="41" t="s">
        <v>215</v>
      </c>
      <c r="Y156" s="41">
        <v>45611</v>
      </c>
      <c r="Z156" s="41">
        <v>51892</v>
      </c>
    </row>
    <row r="157" spans="1:26" x14ac:dyDescent="0.2">
      <c r="A157" s="44">
        <v>2018</v>
      </c>
      <c r="B157" s="44" t="s">
        <v>317</v>
      </c>
      <c r="C157" s="44" t="s">
        <v>44</v>
      </c>
      <c r="D157" s="44" t="s">
        <v>328</v>
      </c>
      <c r="E157" s="44">
        <v>9166</v>
      </c>
      <c r="F157" s="44">
        <v>0.1</v>
      </c>
      <c r="G157" s="44">
        <v>1833</v>
      </c>
      <c r="O157" s="41">
        <f t="shared" si="10"/>
        <v>32490</v>
      </c>
      <c r="U157" s="41">
        <v>2018</v>
      </c>
      <c r="V157" s="41" t="s">
        <v>317</v>
      </c>
      <c r="W157" s="41" t="s">
        <v>44</v>
      </c>
      <c r="X157" s="41" t="s">
        <v>216</v>
      </c>
      <c r="Y157" s="41">
        <v>43269</v>
      </c>
      <c r="Z157" s="41">
        <v>52068</v>
      </c>
    </row>
    <row r="158" spans="1:26" x14ac:dyDescent="0.2">
      <c r="A158" s="43">
        <v>2018</v>
      </c>
      <c r="B158" s="43" t="s">
        <v>317</v>
      </c>
      <c r="C158" s="43" t="s">
        <v>44</v>
      </c>
      <c r="D158" s="43" t="s">
        <v>329</v>
      </c>
      <c r="E158" s="43">
        <v>8116</v>
      </c>
      <c r="F158" s="43">
        <v>0.1</v>
      </c>
      <c r="G158" s="43">
        <v>1623</v>
      </c>
      <c r="O158" s="41">
        <f t="shared" si="10"/>
        <v>24249</v>
      </c>
      <c r="U158" s="41">
        <v>2018</v>
      </c>
      <c r="V158" s="41" t="s">
        <v>317</v>
      </c>
      <c r="W158" s="41" t="s">
        <v>44</v>
      </c>
      <c r="X158" s="41" t="s">
        <v>326</v>
      </c>
      <c r="Y158" s="41">
        <v>25854</v>
      </c>
      <c r="Z158" s="41">
        <v>32965</v>
      </c>
    </row>
    <row r="159" spans="1:26" x14ac:dyDescent="0.2">
      <c r="A159" s="44">
        <v>2018</v>
      </c>
      <c r="B159" s="44" t="s">
        <v>317</v>
      </c>
      <c r="C159" s="44" t="s">
        <v>44</v>
      </c>
      <c r="D159" s="44" t="s">
        <v>330</v>
      </c>
      <c r="E159" s="44">
        <v>1719</v>
      </c>
      <c r="F159" s="44">
        <v>0.1</v>
      </c>
      <c r="G159" s="44">
        <v>344</v>
      </c>
      <c r="O159" s="41">
        <f t="shared" si="10"/>
        <v>16550</v>
      </c>
      <c r="U159" s="41">
        <v>2018</v>
      </c>
      <c r="V159" s="41" t="s">
        <v>317</v>
      </c>
      <c r="W159" s="41" t="s">
        <v>44</v>
      </c>
      <c r="X159" s="41" t="s">
        <v>327</v>
      </c>
      <c r="Y159" s="41">
        <v>21201</v>
      </c>
      <c r="Z159" s="41">
        <v>30657</v>
      </c>
    </row>
    <row r="160" spans="1:26" x14ac:dyDescent="0.2">
      <c r="A160" s="44">
        <v>2018</v>
      </c>
      <c r="B160" s="44" t="s">
        <v>317</v>
      </c>
      <c r="C160" s="44" t="s">
        <v>43</v>
      </c>
      <c r="D160" s="44" t="s">
        <v>197</v>
      </c>
      <c r="E160" s="44">
        <v>549386</v>
      </c>
      <c r="F160" s="44"/>
      <c r="G160" s="44">
        <v>109877</v>
      </c>
      <c r="O160" s="41">
        <f t="shared" si="10"/>
        <v>12697</v>
      </c>
      <c r="U160" s="41">
        <v>2018</v>
      </c>
      <c r="V160" s="41" t="s">
        <v>317</v>
      </c>
      <c r="W160" s="41" t="s">
        <v>44</v>
      </c>
      <c r="X160" s="41" t="s">
        <v>328</v>
      </c>
      <c r="Y160" s="41">
        <v>9166</v>
      </c>
      <c r="Z160" s="41">
        <v>15829</v>
      </c>
    </row>
    <row r="161" spans="1:28" x14ac:dyDescent="0.2">
      <c r="A161" s="43">
        <v>2018</v>
      </c>
      <c r="B161" s="43" t="s">
        <v>317</v>
      </c>
      <c r="C161" s="43" t="s">
        <v>43</v>
      </c>
      <c r="D161" s="43" t="s">
        <v>125</v>
      </c>
      <c r="E161" s="43">
        <v>562669</v>
      </c>
      <c r="F161" s="43"/>
      <c r="G161" s="43">
        <v>112534</v>
      </c>
      <c r="O161" s="41">
        <f t="shared" si="10"/>
        <v>9122</v>
      </c>
      <c r="U161" s="41">
        <v>2018</v>
      </c>
      <c r="V161" s="41" t="s">
        <v>317</v>
      </c>
      <c r="W161" s="41" t="s">
        <v>44</v>
      </c>
      <c r="X161" s="41" t="s">
        <v>329</v>
      </c>
      <c r="Y161" s="41">
        <v>8116</v>
      </c>
      <c r="Z161" s="41">
        <v>13405</v>
      </c>
    </row>
    <row r="162" spans="1:28" x14ac:dyDescent="0.2">
      <c r="A162" s="44">
        <v>2018</v>
      </c>
      <c r="B162" s="44" t="s">
        <v>317</v>
      </c>
      <c r="C162" s="44" t="s">
        <v>43</v>
      </c>
      <c r="D162" s="44" t="s">
        <v>126</v>
      </c>
      <c r="E162" s="44">
        <v>543203</v>
      </c>
      <c r="F162" s="44"/>
      <c r="G162" s="44">
        <v>108641</v>
      </c>
      <c r="O162" s="41">
        <f t="shared" si="10"/>
        <v>8654</v>
      </c>
      <c r="U162" s="41">
        <v>2018</v>
      </c>
      <c r="V162" s="41" t="s">
        <v>317</v>
      </c>
      <c r="W162" s="41" t="s">
        <v>44</v>
      </c>
      <c r="X162" s="41" t="s">
        <v>330</v>
      </c>
      <c r="Y162" s="41">
        <v>1719</v>
      </c>
      <c r="Z162" s="41">
        <v>2993</v>
      </c>
    </row>
    <row r="163" spans="1:28" x14ac:dyDescent="0.2">
      <c r="A163" s="43">
        <v>2018</v>
      </c>
      <c r="B163" s="43" t="s">
        <v>317</v>
      </c>
      <c r="C163" s="43" t="s">
        <v>43</v>
      </c>
      <c r="D163" s="43" t="s">
        <v>117</v>
      </c>
      <c r="E163" s="43">
        <v>433794</v>
      </c>
      <c r="F163" s="43"/>
      <c r="G163" s="43">
        <v>86759</v>
      </c>
      <c r="O163" s="41">
        <f t="shared" si="10"/>
        <v>5171</v>
      </c>
      <c r="Y163" s="41">
        <f>SUM(Y144:Y162)</f>
        <v>3677764</v>
      </c>
      <c r="Z163" s="41">
        <f>SUM(Z144:Z162)</f>
        <v>3840360</v>
      </c>
      <c r="AA163" s="41">
        <f>SUM(Y163:Z163)</f>
        <v>7518124</v>
      </c>
    </row>
    <row r="164" spans="1:28" x14ac:dyDescent="0.2">
      <c r="A164" s="44">
        <v>2018</v>
      </c>
      <c r="B164" s="44" t="s">
        <v>317</v>
      </c>
      <c r="C164" s="44" t="s">
        <v>43</v>
      </c>
      <c r="D164" s="44" t="s">
        <v>118</v>
      </c>
      <c r="E164" s="44">
        <v>380350</v>
      </c>
      <c r="F164" s="44"/>
      <c r="G164" s="44">
        <v>76070</v>
      </c>
      <c r="O164" s="41">
        <f t="shared" si="10"/>
        <v>4240</v>
      </c>
      <c r="U164" s="41">
        <v>2018</v>
      </c>
      <c r="V164" s="41" t="s">
        <v>317</v>
      </c>
      <c r="W164" s="41" t="s">
        <v>43</v>
      </c>
      <c r="X164" s="41" t="s">
        <v>197</v>
      </c>
      <c r="Y164" s="41">
        <v>549386</v>
      </c>
    </row>
    <row r="165" spans="1:28" x14ac:dyDescent="0.2">
      <c r="A165" s="43">
        <v>2018</v>
      </c>
      <c r="B165" s="43" t="s">
        <v>317</v>
      </c>
      <c r="C165" s="43" t="s">
        <v>43</v>
      </c>
      <c r="D165" s="43" t="s">
        <v>119</v>
      </c>
      <c r="E165" s="43">
        <v>281250</v>
      </c>
      <c r="F165" s="43"/>
      <c r="G165" s="43">
        <v>56250</v>
      </c>
      <c r="O165" s="41">
        <f t="shared" si="10"/>
        <v>1833</v>
      </c>
      <c r="U165" s="41">
        <v>2018</v>
      </c>
      <c r="V165" s="41" t="s">
        <v>317</v>
      </c>
      <c r="W165" s="41" t="s">
        <v>43</v>
      </c>
      <c r="X165" s="41" t="s">
        <v>125</v>
      </c>
      <c r="Y165" s="41">
        <v>562669</v>
      </c>
    </row>
    <row r="166" spans="1:28" x14ac:dyDescent="0.2">
      <c r="A166" s="44">
        <v>2018</v>
      </c>
      <c r="B166" s="44" t="s">
        <v>317</v>
      </c>
      <c r="C166" s="44" t="s">
        <v>43</v>
      </c>
      <c r="D166" s="44" t="s">
        <v>120</v>
      </c>
      <c r="E166" s="44">
        <v>256435</v>
      </c>
      <c r="F166" s="44"/>
      <c r="G166" s="44">
        <v>51287</v>
      </c>
      <c r="O166" s="41">
        <f t="shared" si="10"/>
        <v>1623</v>
      </c>
      <c r="U166" s="41">
        <v>2018</v>
      </c>
      <c r="V166" s="41" t="s">
        <v>317</v>
      </c>
      <c r="W166" s="41" t="s">
        <v>43</v>
      </c>
      <c r="X166" s="41" t="s">
        <v>126</v>
      </c>
      <c r="Y166" s="41">
        <v>543203</v>
      </c>
    </row>
    <row r="167" spans="1:28" x14ac:dyDescent="0.2">
      <c r="A167" s="43">
        <v>2018</v>
      </c>
      <c r="B167" s="43" t="s">
        <v>317</v>
      </c>
      <c r="C167" s="43" t="s">
        <v>43</v>
      </c>
      <c r="D167" s="43" t="s">
        <v>121</v>
      </c>
      <c r="E167" s="43">
        <v>211062</v>
      </c>
      <c r="F167" s="43"/>
      <c r="G167" s="43">
        <v>42212</v>
      </c>
      <c r="O167" s="41">
        <f t="shared" si="10"/>
        <v>344</v>
      </c>
      <c r="U167" s="41">
        <v>2018</v>
      </c>
      <c r="V167" s="41" t="s">
        <v>317</v>
      </c>
      <c r="W167" s="41" t="s">
        <v>43</v>
      </c>
      <c r="X167" s="41" t="s">
        <v>117</v>
      </c>
      <c r="Y167" s="41">
        <v>433794</v>
      </c>
    </row>
    <row r="168" spans="1:28" x14ac:dyDescent="0.2">
      <c r="A168" s="44">
        <v>2018</v>
      </c>
      <c r="B168" s="44" t="s">
        <v>317</v>
      </c>
      <c r="C168" s="44" t="s">
        <v>43</v>
      </c>
      <c r="D168" s="44" t="s">
        <v>122</v>
      </c>
      <c r="E168" s="44">
        <v>156965</v>
      </c>
      <c r="F168" s="44"/>
      <c r="G168" s="44">
        <v>31393</v>
      </c>
      <c r="O168" s="41" t="e">
        <f>ROUND(0.2*#REF!,0)</f>
        <v>#REF!</v>
      </c>
      <c r="U168" s="41">
        <v>2018</v>
      </c>
      <c r="V168" s="41" t="s">
        <v>317</v>
      </c>
      <c r="W168" s="41" t="s">
        <v>43</v>
      </c>
      <c r="X168" s="41" t="s">
        <v>118</v>
      </c>
      <c r="Y168" s="41">
        <v>380350</v>
      </c>
    </row>
    <row r="169" spans="1:28" x14ac:dyDescent="0.2">
      <c r="A169" s="43">
        <v>2018</v>
      </c>
      <c r="B169" s="43" t="s">
        <v>317</v>
      </c>
      <c r="C169" s="43" t="s">
        <v>43</v>
      </c>
      <c r="D169" s="43" t="s">
        <v>123</v>
      </c>
      <c r="E169" s="43">
        <v>112939</v>
      </c>
      <c r="F169" s="43"/>
      <c r="G169" s="43">
        <v>22588</v>
      </c>
      <c r="J169" s="41" t="s">
        <v>211</v>
      </c>
      <c r="O169" s="41">
        <f t="shared" ref="O169:O187" si="11">ROUND(0.2*E160,0)</f>
        <v>109877</v>
      </c>
      <c r="U169" s="41">
        <v>2018</v>
      </c>
      <c r="V169" s="41" t="s">
        <v>317</v>
      </c>
      <c r="W169" s="41" t="s">
        <v>43</v>
      </c>
      <c r="X169" s="41" t="s">
        <v>119</v>
      </c>
      <c r="Y169" s="41">
        <v>281250</v>
      </c>
    </row>
    <row r="170" spans="1:28" x14ac:dyDescent="0.2">
      <c r="A170" s="44">
        <v>2018</v>
      </c>
      <c r="B170" s="44" t="s">
        <v>317</v>
      </c>
      <c r="C170" s="44" t="s">
        <v>43</v>
      </c>
      <c r="D170" s="44" t="s">
        <v>124</v>
      </c>
      <c r="E170" s="44">
        <v>84038</v>
      </c>
      <c r="F170" s="44"/>
      <c r="G170" s="44">
        <v>16808</v>
      </c>
      <c r="O170" s="41">
        <f t="shared" si="11"/>
        <v>112534</v>
      </c>
      <c r="U170" s="41">
        <v>2018</v>
      </c>
      <c r="V170" s="41" t="s">
        <v>317</v>
      </c>
      <c r="W170" s="41" t="s">
        <v>43</v>
      </c>
      <c r="X170" s="41" t="s">
        <v>120</v>
      </c>
      <c r="Y170" s="41">
        <v>256435</v>
      </c>
    </row>
    <row r="171" spans="1:28" x14ac:dyDescent="0.2">
      <c r="A171" s="43">
        <v>2018</v>
      </c>
      <c r="B171" s="43" t="s">
        <v>317</v>
      </c>
      <c r="C171" s="43" t="s">
        <v>43</v>
      </c>
      <c r="D171" s="43" t="s">
        <v>127</v>
      </c>
      <c r="E171" s="43">
        <v>68460</v>
      </c>
      <c r="F171" s="43">
        <v>0.1</v>
      </c>
      <c r="G171" s="43">
        <v>13692</v>
      </c>
      <c r="O171" s="41">
        <f t="shared" si="11"/>
        <v>108641</v>
      </c>
      <c r="U171" s="41">
        <v>2018</v>
      </c>
      <c r="V171" s="41" t="s">
        <v>317</v>
      </c>
      <c r="W171" s="41" t="s">
        <v>43</v>
      </c>
      <c r="X171" s="41" t="s">
        <v>121</v>
      </c>
      <c r="Y171" s="41">
        <v>211062</v>
      </c>
    </row>
    <row r="172" spans="1:28" x14ac:dyDescent="0.2">
      <c r="A172" s="44">
        <v>2018</v>
      </c>
      <c r="B172" s="44" t="s">
        <v>317</v>
      </c>
      <c r="C172" s="44" t="s">
        <v>43</v>
      </c>
      <c r="D172" s="44" t="s">
        <v>215</v>
      </c>
      <c r="E172" s="44">
        <v>51892</v>
      </c>
      <c r="F172" s="44">
        <v>0.1</v>
      </c>
      <c r="G172" s="44">
        <v>10378</v>
      </c>
      <c r="O172" s="41">
        <f t="shared" si="11"/>
        <v>86759</v>
      </c>
      <c r="U172" s="41">
        <v>2018</v>
      </c>
      <c r="V172" s="41" t="s">
        <v>317</v>
      </c>
      <c r="W172" s="41" t="s">
        <v>43</v>
      </c>
      <c r="X172" s="41" t="s">
        <v>122</v>
      </c>
      <c r="Y172" s="41">
        <v>156965</v>
      </c>
    </row>
    <row r="173" spans="1:28" x14ac:dyDescent="0.2">
      <c r="A173" s="43">
        <v>2018</v>
      </c>
      <c r="B173" s="43" t="s">
        <v>317</v>
      </c>
      <c r="C173" s="43" t="s">
        <v>43</v>
      </c>
      <c r="D173" s="43" t="s">
        <v>216</v>
      </c>
      <c r="E173" s="43">
        <v>52068</v>
      </c>
      <c r="F173" s="43">
        <v>0.1</v>
      </c>
      <c r="G173" s="43">
        <v>10414</v>
      </c>
      <c r="O173" s="41">
        <f t="shared" si="11"/>
        <v>76070</v>
      </c>
      <c r="U173" s="41">
        <v>2018</v>
      </c>
      <c r="V173" s="41" t="s">
        <v>317</v>
      </c>
      <c r="W173" s="41" t="s">
        <v>43</v>
      </c>
      <c r="X173" s="41" t="s">
        <v>123</v>
      </c>
      <c r="Y173" s="41">
        <v>112939</v>
      </c>
      <c r="AB173" s="41" t="s">
        <v>211</v>
      </c>
    </row>
    <row r="174" spans="1:28" x14ac:dyDescent="0.2">
      <c r="A174" s="44">
        <v>2018</v>
      </c>
      <c r="B174" s="44" t="s">
        <v>317</v>
      </c>
      <c r="C174" s="44" t="s">
        <v>43</v>
      </c>
      <c r="D174" s="44" t="s">
        <v>326</v>
      </c>
      <c r="E174" s="44">
        <v>32965</v>
      </c>
      <c r="F174" s="44">
        <v>0.1</v>
      </c>
      <c r="G174" s="44">
        <v>6593</v>
      </c>
      <c r="O174" s="41">
        <f t="shared" si="11"/>
        <v>56250</v>
      </c>
      <c r="U174" s="41">
        <v>2018</v>
      </c>
      <c r="V174" s="41" t="s">
        <v>317</v>
      </c>
      <c r="W174" s="41" t="s">
        <v>43</v>
      </c>
      <c r="X174" s="41" t="s">
        <v>124</v>
      </c>
      <c r="Y174" s="41">
        <v>84038</v>
      </c>
    </row>
    <row r="175" spans="1:28" x14ac:dyDescent="0.2">
      <c r="A175" s="43">
        <v>2018</v>
      </c>
      <c r="B175" s="43" t="s">
        <v>317</v>
      </c>
      <c r="C175" s="43" t="s">
        <v>43</v>
      </c>
      <c r="D175" s="43" t="s">
        <v>327</v>
      </c>
      <c r="E175" s="43">
        <v>30657</v>
      </c>
      <c r="F175" s="43">
        <v>0.1</v>
      </c>
      <c r="G175" s="43">
        <v>6131</v>
      </c>
      <c r="O175" s="41">
        <f t="shared" si="11"/>
        <v>51287</v>
      </c>
      <c r="U175" s="41">
        <v>2018</v>
      </c>
      <c r="V175" s="41" t="s">
        <v>317</v>
      </c>
      <c r="W175" s="41" t="s">
        <v>43</v>
      </c>
      <c r="X175" s="41" t="s">
        <v>127</v>
      </c>
      <c r="Y175" s="41">
        <v>68460</v>
      </c>
    </row>
    <row r="176" spans="1:28" x14ac:dyDescent="0.2">
      <c r="A176" s="44">
        <v>2018</v>
      </c>
      <c r="B176" s="44" t="s">
        <v>317</v>
      </c>
      <c r="C176" s="44" t="s">
        <v>43</v>
      </c>
      <c r="D176" s="44" t="s">
        <v>328</v>
      </c>
      <c r="E176" s="44">
        <v>15829</v>
      </c>
      <c r="F176" s="44">
        <v>0.1</v>
      </c>
      <c r="G176" s="44">
        <v>3166</v>
      </c>
      <c r="O176" s="41">
        <f t="shared" si="11"/>
        <v>42212</v>
      </c>
      <c r="U176" s="41">
        <v>2018</v>
      </c>
      <c r="V176" s="41" t="s">
        <v>317</v>
      </c>
      <c r="W176" s="41" t="s">
        <v>43</v>
      </c>
      <c r="X176" s="41" t="s">
        <v>215</v>
      </c>
      <c r="Y176" s="41">
        <v>51892</v>
      </c>
    </row>
    <row r="177" spans="1:26" x14ac:dyDescent="0.2">
      <c r="A177" s="43">
        <v>2018</v>
      </c>
      <c r="B177" s="43" t="s">
        <v>317</v>
      </c>
      <c r="C177" s="43" t="s">
        <v>43</v>
      </c>
      <c r="D177" s="43" t="s">
        <v>329</v>
      </c>
      <c r="E177" s="43">
        <v>13405</v>
      </c>
      <c r="F177" s="43">
        <v>0.1</v>
      </c>
      <c r="G177" s="43">
        <v>2681</v>
      </c>
      <c r="O177" s="41">
        <f t="shared" si="11"/>
        <v>31393</v>
      </c>
      <c r="U177" s="41">
        <v>2018</v>
      </c>
      <c r="V177" s="41" t="s">
        <v>317</v>
      </c>
      <c r="W177" s="41" t="s">
        <v>43</v>
      </c>
      <c r="X177" s="41" t="s">
        <v>216</v>
      </c>
      <c r="Y177" s="41">
        <v>52068</v>
      </c>
    </row>
    <row r="178" spans="1:26" x14ac:dyDescent="0.2">
      <c r="A178" s="44">
        <v>2018</v>
      </c>
      <c r="B178" s="44" t="s">
        <v>317</v>
      </c>
      <c r="C178" s="44" t="s">
        <v>43</v>
      </c>
      <c r="D178" s="44" t="s">
        <v>330</v>
      </c>
      <c r="E178" s="44">
        <v>2993</v>
      </c>
      <c r="F178" s="44">
        <v>0.1</v>
      </c>
      <c r="G178" s="44">
        <v>599</v>
      </c>
      <c r="O178" s="41">
        <f t="shared" si="11"/>
        <v>22588</v>
      </c>
      <c r="U178" s="41">
        <v>2018</v>
      </c>
      <c r="V178" s="41" t="s">
        <v>317</v>
      </c>
      <c r="W178" s="41" t="s">
        <v>43</v>
      </c>
      <c r="X178" s="41" t="s">
        <v>326</v>
      </c>
      <c r="Y178" s="41">
        <v>32965</v>
      </c>
    </row>
    <row r="179" spans="1:26" x14ac:dyDescent="0.2">
      <c r="A179" s="44">
        <v>2008</v>
      </c>
      <c r="B179" s="44" t="s">
        <v>316</v>
      </c>
      <c r="C179" s="44" t="s">
        <v>44</v>
      </c>
      <c r="D179" s="44" t="s">
        <v>197</v>
      </c>
      <c r="E179" s="44">
        <v>150892</v>
      </c>
      <c r="F179" s="44"/>
      <c r="G179" s="44">
        <v>30178</v>
      </c>
      <c r="O179" s="41">
        <f t="shared" si="11"/>
        <v>16808</v>
      </c>
      <c r="U179" s="41">
        <v>2018</v>
      </c>
      <c r="V179" s="41" t="s">
        <v>317</v>
      </c>
      <c r="W179" s="41" t="s">
        <v>43</v>
      </c>
      <c r="X179" s="41" t="s">
        <v>327</v>
      </c>
      <c r="Y179" s="41">
        <v>30657</v>
      </c>
    </row>
    <row r="180" spans="1:26" x14ac:dyDescent="0.2">
      <c r="A180" s="43">
        <v>2008</v>
      </c>
      <c r="B180" s="43" t="s">
        <v>316</v>
      </c>
      <c r="C180" s="43" t="s">
        <v>44</v>
      </c>
      <c r="D180" s="43" t="s">
        <v>125</v>
      </c>
      <c r="E180" s="43">
        <v>129318</v>
      </c>
      <c r="F180" s="43"/>
      <c r="G180" s="43">
        <v>25864</v>
      </c>
      <c r="O180" s="41">
        <f t="shared" si="11"/>
        <v>13692</v>
      </c>
      <c r="U180" s="41">
        <v>2018</v>
      </c>
      <c r="V180" s="41" t="s">
        <v>317</v>
      </c>
      <c r="W180" s="41" t="s">
        <v>43</v>
      </c>
      <c r="X180" s="41" t="s">
        <v>328</v>
      </c>
      <c r="Y180" s="41">
        <v>15829</v>
      </c>
    </row>
    <row r="181" spans="1:26" x14ac:dyDescent="0.2">
      <c r="A181" s="44">
        <v>2008</v>
      </c>
      <c r="B181" s="44" t="s">
        <v>316</v>
      </c>
      <c r="C181" s="44" t="s">
        <v>44</v>
      </c>
      <c r="D181" s="44" t="s">
        <v>126</v>
      </c>
      <c r="E181" s="44">
        <v>110798</v>
      </c>
      <c r="F181" s="44"/>
      <c r="G181" s="44">
        <v>22160</v>
      </c>
      <c r="O181" s="41">
        <f t="shared" si="11"/>
        <v>10378</v>
      </c>
      <c r="U181" s="41">
        <v>2018</v>
      </c>
      <c r="V181" s="41" t="s">
        <v>317</v>
      </c>
      <c r="W181" s="41" t="s">
        <v>43</v>
      </c>
      <c r="X181" s="41" t="s">
        <v>329</v>
      </c>
      <c r="Y181" s="41">
        <v>13405</v>
      </c>
    </row>
    <row r="182" spans="1:26" x14ac:dyDescent="0.2">
      <c r="A182" s="43">
        <v>2008</v>
      </c>
      <c r="B182" s="43" t="s">
        <v>316</v>
      </c>
      <c r="C182" s="43" t="s">
        <v>44</v>
      </c>
      <c r="D182" s="43" t="s">
        <v>117</v>
      </c>
      <c r="E182" s="43">
        <v>87052</v>
      </c>
      <c r="F182" s="43"/>
      <c r="G182" s="43">
        <v>17410</v>
      </c>
      <c r="O182" s="41">
        <f t="shared" si="11"/>
        <v>10414</v>
      </c>
      <c r="U182" s="41">
        <v>2018</v>
      </c>
      <c r="V182" s="41" t="s">
        <v>317</v>
      </c>
      <c r="W182" s="41" t="s">
        <v>43</v>
      </c>
      <c r="X182" s="41" t="s">
        <v>330</v>
      </c>
      <c r="Y182" s="41">
        <v>2993</v>
      </c>
    </row>
    <row r="183" spans="1:26" x14ac:dyDescent="0.2">
      <c r="A183" s="44">
        <v>2008</v>
      </c>
      <c r="B183" s="44" t="s">
        <v>316</v>
      </c>
      <c r="C183" s="44" t="s">
        <v>44</v>
      </c>
      <c r="D183" s="44" t="s">
        <v>118</v>
      </c>
      <c r="E183" s="44">
        <v>73832</v>
      </c>
      <c r="F183" s="44"/>
      <c r="G183" s="44">
        <v>14766</v>
      </c>
      <c r="O183" s="41">
        <f t="shared" si="11"/>
        <v>6593</v>
      </c>
    </row>
    <row r="184" spans="1:26" x14ac:dyDescent="0.2">
      <c r="A184" s="43">
        <v>2008</v>
      </c>
      <c r="B184" s="43" t="s">
        <v>316</v>
      </c>
      <c r="C184" s="43" t="s">
        <v>44</v>
      </c>
      <c r="D184" s="43" t="s">
        <v>119</v>
      </c>
      <c r="E184" s="43">
        <v>63281</v>
      </c>
      <c r="F184" s="43"/>
      <c r="G184" s="43">
        <v>12656</v>
      </c>
      <c r="O184" s="41">
        <f t="shared" si="11"/>
        <v>6131</v>
      </c>
      <c r="Y184" s="41" t="s">
        <v>323</v>
      </c>
      <c r="Z184" s="41" t="s">
        <v>324</v>
      </c>
    </row>
    <row r="185" spans="1:26" x14ac:dyDescent="0.2">
      <c r="A185" s="44">
        <v>2008</v>
      </c>
      <c r="B185" s="44" t="s">
        <v>316</v>
      </c>
      <c r="C185" s="44" t="s">
        <v>44</v>
      </c>
      <c r="D185" s="44" t="s">
        <v>120</v>
      </c>
      <c r="E185" s="44">
        <v>50478</v>
      </c>
      <c r="F185" s="44"/>
      <c r="G185" s="44">
        <v>10096</v>
      </c>
      <c r="O185" s="41">
        <f t="shared" si="11"/>
        <v>3166</v>
      </c>
      <c r="U185" s="41">
        <v>2008</v>
      </c>
      <c r="V185" s="41" t="s">
        <v>316</v>
      </c>
      <c r="W185" s="41" t="s">
        <v>44</v>
      </c>
      <c r="X185" s="41" t="s">
        <v>197</v>
      </c>
      <c r="Y185" s="41">
        <v>150892</v>
      </c>
      <c r="Z185" s="41">
        <v>153111</v>
      </c>
    </row>
    <row r="186" spans="1:26" x14ac:dyDescent="0.2">
      <c r="A186" s="43">
        <v>2008</v>
      </c>
      <c r="B186" s="43" t="s">
        <v>316</v>
      </c>
      <c r="C186" s="43" t="s">
        <v>44</v>
      </c>
      <c r="D186" s="43" t="s">
        <v>121</v>
      </c>
      <c r="E186" s="43">
        <v>37855</v>
      </c>
      <c r="F186" s="43"/>
      <c r="G186" s="43">
        <v>7571</v>
      </c>
      <c r="O186" s="41">
        <f t="shared" si="11"/>
        <v>2681</v>
      </c>
      <c r="U186" s="41">
        <v>2008</v>
      </c>
      <c r="V186" s="41" t="s">
        <v>316</v>
      </c>
      <c r="W186" s="41" t="s">
        <v>44</v>
      </c>
      <c r="X186" s="41" t="s">
        <v>125</v>
      </c>
      <c r="Y186" s="41">
        <v>129318</v>
      </c>
      <c r="Z186" s="41">
        <v>131298</v>
      </c>
    </row>
    <row r="187" spans="1:26" x14ac:dyDescent="0.2">
      <c r="A187" s="44">
        <v>2008</v>
      </c>
      <c r="B187" s="44" t="s">
        <v>316</v>
      </c>
      <c r="C187" s="44" t="s">
        <v>44</v>
      </c>
      <c r="D187" s="44" t="s">
        <v>122</v>
      </c>
      <c r="E187" s="44">
        <v>29628</v>
      </c>
      <c r="F187" s="44"/>
      <c r="G187" s="44">
        <v>5926</v>
      </c>
      <c r="O187" s="41">
        <f t="shared" si="11"/>
        <v>599</v>
      </c>
      <c r="U187" s="41">
        <v>2008</v>
      </c>
      <c r="V187" s="41" t="s">
        <v>316</v>
      </c>
      <c r="W187" s="41" t="s">
        <v>44</v>
      </c>
      <c r="X187" s="41" t="s">
        <v>126</v>
      </c>
      <c r="Y187" s="41">
        <v>110798</v>
      </c>
      <c r="Z187" s="41">
        <v>113048</v>
      </c>
    </row>
    <row r="188" spans="1:26" x14ac:dyDescent="0.2">
      <c r="A188" s="43">
        <v>2008</v>
      </c>
      <c r="B188" s="43" t="s">
        <v>316</v>
      </c>
      <c r="C188" s="43" t="s">
        <v>44</v>
      </c>
      <c r="D188" s="43" t="s">
        <v>123</v>
      </c>
      <c r="E188" s="43">
        <v>22506</v>
      </c>
      <c r="F188" s="43"/>
      <c r="G188" s="43">
        <v>4501</v>
      </c>
      <c r="O188" s="41" t="e">
        <f>ROUND(0.2*#REF!,0)</f>
        <v>#REF!</v>
      </c>
      <c r="U188" s="41">
        <v>2008</v>
      </c>
      <c r="V188" s="41" t="s">
        <v>316</v>
      </c>
      <c r="W188" s="41" t="s">
        <v>44</v>
      </c>
      <c r="X188" s="41" t="s">
        <v>117</v>
      </c>
      <c r="Y188" s="41">
        <v>87052</v>
      </c>
      <c r="Z188" s="41">
        <v>90621</v>
      </c>
    </row>
    <row r="189" spans="1:26" x14ac:dyDescent="0.2">
      <c r="A189" s="44">
        <v>2008</v>
      </c>
      <c r="B189" s="44" t="s">
        <v>316</v>
      </c>
      <c r="C189" s="44" t="s">
        <v>44</v>
      </c>
      <c r="D189" s="44" t="s">
        <v>124</v>
      </c>
      <c r="E189" s="44">
        <v>17853</v>
      </c>
      <c r="F189" s="44"/>
      <c r="G189" s="44">
        <v>3571</v>
      </c>
      <c r="O189" s="41">
        <f t="shared" ref="O189:O207" si="12">ROUND(0.2*E179,0)</f>
        <v>30178</v>
      </c>
      <c r="U189" s="41">
        <v>2008</v>
      </c>
      <c r="V189" s="41" t="s">
        <v>316</v>
      </c>
      <c r="W189" s="41" t="s">
        <v>44</v>
      </c>
      <c r="X189" s="41" t="s">
        <v>118</v>
      </c>
      <c r="Y189" s="41">
        <v>73832</v>
      </c>
      <c r="Z189" s="41">
        <v>87252</v>
      </c>
    </row>
    <row r="190" spans="1:26" x14ac:dyDescent="0.2">
      <c r="A190" s="43">
        <v>2008</v>
      </c>
      <c r="B190" s="43" t="s">
        <v>316</v>
      </c>
      <c r="C190" s="43" t="s">
        <v>44</v>
      </c>
      <c r="D190" s="43" t="s">
        <v>127</v>
      </c>
      <c r="E190" s="43">
        <v>14520</v>
      </c>
      <c r="F190" s="43"/>
      <c r="G190" s="43">
        <v>2904</v>
      </c>
      <c r="O190" s="41">
        <f t="shared" si="12"/>
        <v>25864</v>
      </c>
      <c r="U190" s="41">
        <v>2008</v>
      </c>
      <c r="V190" s="41" t="s">
        <v>316</v>
      </c>
      <c r="W190" s="41" t="s">
        <v>44</v>
      </c>
      <c r="X190" s="41" t="s">
        <v>119</v>
      </c>
      <c r="Y190" s="41">
        <v>63281</v>
      </c>
      <c r="Z190" s="41">
        <v>70229</v>
      </c>
    </row>
    <row r="191" spans="1:26" x14ac:dyDescent="0.2">
      <c r="A191" s="44">
        <v>2008</v>
      </c>
      <c r="B191" s="44" t="s">
        <v>316</v>
      </c>
      <c r="C191" s="44" t="s">
        <v>44</v>
      </c>
      <c r="D191" s="44" t="s">
        <v>215</v>
      </c>
      <c r="E191" s="44">
        <v>11758</v>
      </c>
      <c r="F191" s="44"/>
      <c r="G191" s="44">
        <v>2352</v>
      </c>
      <c r="O191" s="41">
        <f t="shared" si="12"/>
        <v>22160</v>
      </c>
      <c r="U191" s="41">
        <v>2008</v>
      </c>
      <c r="V191" s="41" t="s">
        <v>316</v>
      </c>
      <c r="W191" s="41" t="s">
        <v>44</v>
      </c>
      <c r="X191" s="41" t="s">
        <v>120</v>
      </c>
      <c r="Y191" s="41">
        <v>50478</v>
      </c>
      <c r="Z191" s="41">
        <v>52504</v>
      </c>
    </row>
    <row r="192" spans="1:26" x14ac:dyDescent="0.2">
      <c r="A192" s="43">
        <v>2008</v>
      </c>
      <c r="B192" s="43" t="s">
        <v>316</v>
      </c>
      <c r="C192" s="43" t="s">
        <v>44</v>
      </c>
      <c r="D192" s="43" t="s">
        <v>216</v>
      </c>
      <c r="E192" s="43">
        <v>10140</v>
      </c>
      <c r="F192" s="43"/>
      <c r="G192" s="43">
        <v>2028</v>
      </c>
      <c r="O192" s="41">
        <f t="shared" si="12"/>
        <v>17410</v>
      </c>
      <c r="U192" s="41">
        <v>2008</v>
      </c>
      <c r="V192" s="41" t="s">
        <v>316</v>
      </c>
      <c r="W192" s="41" t="s">
        <v>44</v>
      </c>
      <c r="X192" s="41" t="s">
        <v>121</v>
      </c>
      <c r="Y192" s="41">
        <v>37855</v>
      </c>
      <c r="Z192" s="41">
        <v>38834</v>
      </c>
    </row>
    <row r="193" spans="1:26" x14ac:dyDescent="0.2">
      <c r="A193" s="44">
        <v>2008</v>
      </c>
      <c r="B193" s="44" t="s">
        <v>316</v>
      </c>
      <c r="C193" s="44" t="s">
        <v>44</v>
      </c>
      <c r="D193" s="44" t="s">
        <v>326</v>
      </c>
      <c r="E193" s="44">
        <v>7136</v>
      </c>
      <c r="F193" s="44"/>
      <c r="G193" s="44">
        <v>1427</v>
      </c>
      <c r="O193" s="41">
        <f t="shared" si="12"/>
        <v>14766</v>
      </c>
      <c r="U193" s="41">
        <v>2008</v>
      </c>
      <c r="V193" s="41" t="s">
        <v>316</v>
      </c>
      <c r="W193" s="41" t="s">
        <v>44</v>
      </c>
      <c r="X193" s="41" t="s">
        <v>122</v>
      </c>
      <c r="Y193" s="41">
        <v>29628</v>
      </c>
      <c r="Z193" s="41">
        <v>31940</v>
      </c>
    </row>
    <row r="194" spans="1:26" x14ac:dyDescent="0.2">
      <c r="A194" s="43">
        <v>2008</v>
      </c>
      <c r="B194" s="43" t="s">
        <v>316</v>
      </c>
      <c r="C194" s="43" t="s">
        <v>44</v>
      </c>
      <c r="D194" s="43" t="s">
        <v>327</v>
      </c>
      <c r="E194" s="43">
        <v>6250</v>
      </c>
      <c r="F194" s="43"/>
      <c r="G194" s="43">
        <v>1250</v>
      </c>
      <c r="O194" s="41">
        <f t="shared" si="12"/>
        <v>12656</v>
      </c>
      <c r="U194" s="41">
        <v>2008</v>
      </c>
      <c r="V194" s="41" t="s">
        <v>316</v>
      </c>
      <c r="W194" s="41" t="s">
        <v>44</v>
      </c>
      <c r="X194" s="41" t="s">
        <v>123</v>
      </c>
      <c r="Y194" s="41">
        <v>22506</v>
      </c>
      <c r="Z194" s="41">
        <v>24863</v>
      </c>
    </row>
    <row r="195" spans="1:26" x14ac:dyDescent="0.2">
      <c r="A195" s="44">
        <v>2008</v>
      </c>
      <c r="B195" s="44" t="s">
        <v>316</v>
      </c>
      <c r="C195" s="44" t="s">
        <v>44</v>
      </c>
      <c r="D195" s="44" t="s">
        <v>328</v>
      </c>
      <c r="E195" s="44">
        <v>3308</v>
      </c>
      <c r="F195" s="44"/>
      <c r="G195" s="44">
        <v>662</v>
      </c>
      <c r="O195" s="41">
        <f t="shared" si="12"/>
        <v>10096</v>
      </c>
      <c r="U195" s="41">
        <v>2008</v>
      </c>
      <c r="V195" s="41" t="s">
        <v>316</v>
      </c>
      <c r="W195" s="41" t="s">
        <v>44</v>
      </c>
      <c r="X195" s="41" t="s">
        <v>124</v>
      </c>
      <c r="Y195" s="41">
        <v>17853</v>
      </c>
      <c r="Z195" s="41">
        <v>19860</v>
      </c>
    </row>
    <row r="196" spans="1:26" x14ac:dyDescent="0.2">
      <c r="A196" s="43">
        <v>2008</v>
      </c>
      <c r="B196" s="43" t="s">
        <v>316</v>
      </c>
      <c r="C196" s="43" t="s">
        <v>44</v>
      </c>
      <c r="D196" s="43" t="s">
        <v>329</v>
      </c>
      <c r="E196" s="43">
        <v>1936</v>
      </c>
      <c r="F196" s="43"/>
      <c r="G196" s="43">
        <v>387</v>
      </c>
      <c r="O196" s="41">
        <f t="shared" si="12"/>
        <v>7571</v>
      </c>
      <c r="U196" s="41">
        <v>2008</v>
      </c>
      <c r="V196" s="41" t="s">
        <v>316</v>
      </c>
      <c r="W196" s="41" t="s">
        <v>44</v>
      </c>
      <c r="X196" s="41" t="s">
        <v>127</v>
      </c>
      <c r="Y196" s="41">
        <v>14520</v>
      </c>
      <c r="Z196" s="41">
        <v>16619</v>
      </c>
    </row>
    <row r="197" spans="1:26" x14ac:dyDescent="0.2">
      <c r="A197" s="44">
        <v>2008</v>
      </c>
      <c r="B197" s="44" t="s">
        <v>316</v>
      </c>
      <c r="C197" s="44" t="s">
        <v>44</v>
      </c>
      <c r="D197" s="44" t="s">
        <v>330</v>
      </c>
      <c r="E197" s="44">
        <v>336</v>
      </c>
      <c r="F197" s="44"/>
      <c r="G197" s="44">
        <v>67</v>
      </c>
      <c r="O197" s="41">
        <f t="shared" si="12"/>
        <v>5926</v>
      </c>
      <c r="U197" s="41">
        <v>2008</v>
      </c>
      <c r="V197" s="41" t="s">
        <v>316</v>
      </c>
      <c r="W197" s="41" t="s">
        <v>44</v>
      </c>
      <c r="X197" s="41" t="s">
        <v>215</v>
      </c>
      <c r="Y197" s="41">
        <v>11758</v>
      </c>
      <c r="Z197" s="41">
        <v>13782</v>
      </c>
    </row>
    <row r="198" spans="1:26" x14ac:dyDescent="0.2">
      <c r="A198" s="44">
        <v>2008</v>
      </c>
      <c r="B198" s="44" t="s">
        <v>316</v>
      </c>
      <c r="C198" s="44" t="s">
        <v>43</v>
      </c>
      <c r="D198" s="44" t="s">
        <v>197</v>
      </c>
      <c r="E198" s="44">
        <v>153111</v>
      </c>
      <c r="F198" s="44"/>
      <c r="G198" s="44">
        <v>30622</v>
      </c>
      <c r="O198" s="41">
        <f t="shared" si="12"/>
        <v>4501</v>
      </c>
      <c r="U198" s="41">
        <v>2008</v>
      </c>
      <c r="V198" s="41" t="s">
        <v>316</v>
      </c>
      <c r="W198" s="41" t="s">
        <v>44</v>
      </c>
      <c r="X198" s="41" t="s">
        <v>216</v>
      </c>
      <c r="Y198" s="41">
        <v>10140</v>
      </c>
      <c r="Z198" s="41">
        <v>11832</v>
      </c>
    </row>
    <row r="199" spans="1:26" x14ac:dyDescent="0.2">
      <c r="A199" s="43">
        <v>2008</v>
      </c>
      <c r="B199" s="43" t="s">
        <v>316</v>
      </c>
      <c r="C199" s="43" t="s">
        <v>43</v>
      </c>
      <c r="D199" s="43" t="s">
        <v>125</v>
      </c>
      <c r="E199" s="43">
        <v>131298</v>
      </c>
      <c r="F199" s="43"/>
      <c r="G199" s="43">
        <v>26260</v>
      </c>
      <c r="O199" s="41">
        <f t="shared" si="12"/>
        <v>3571</v>
      </c>
      <c r="U199" s="41">
        <v>2008</v>
      </c>
      <c r="V199" s="41" t="s">
        <v>316</v>
      </c>
      <c r="W199" s="41" t="s">
        <v>44</v>
      </c>
      <c r="X199" s="41" t="s">
        <v>326</v>
      </c>
      <c r="Y199" s="41">
        <v>7136</v>
      </c>
      <c r="Z199" s="41">
        <v>8744</v>
      </c>
    </row>
    <row r="200" spans="1:26" x14ac:dyDescent="0.2">
      <c r="A200" s="44">
        <v>2008</v>
      </c>
      <c r="B200" s="44" t="s">
        <v>316</v>
      </c>
      <c r="C200" s="44" t="s">
        <v>43</v>
      </c>
      <c r="D200" s="44" t="s">
        <v>126</v>
      </c>
      <c r="E200" s="44">
        <v>113048</v>
      </c>
      <c r="F200" s="44"/>
      <c r="G200" s="44">
        <v>22610</v>
      </c>
      <c r="O200" s="41">
        <f t="shared" si="12"/>
        <v>2904</v>
      </c>
      <c r="U200" s="41">
        <v>2008</v>
      </c>
      <c r="V200" s="41" t="s">
        <v>316</v>
      </c>
      <c r="W200" s="41" t="s">
        <v>44</v>
      </c>
      <c r="X200" s="41" t="s">
        <v>327</v>
      </c>
      <c r="Y200" s="41">
        <v>6250</v>
      </c>
      <c r="Z200" s="41">
        <v>7456</v>
      </c>
    </row>
    <row r="201" spans="1:26" x14ac:dyDescent="0.2">
      <c r="A201" s="43">
        <v>2008</v>
      </c>
      <c r="B201" s="43" t="s">
        <v>316</v>
      </c>
      <c r="C201" s="43" t="s">
        <v>43</v>
      </c>
      <c r="D201" s="43" t="s">
        <v>117</v>
      </c>
      <c r="E201" s="43">
        <v>90621</v>
      </c>
      <c r="F201" s="43"/>
      <c r="G201" s="43">
        <v>18124</v>
      </c>
      <c r="O201" s="41">
        <f t="shared" si="12"/>
        <v>2352</v>
      </c>
      <c r="U201" s="41">
        <v>2008</v>
      </c>
      <c r="V201" s="41" t="s">
        <v>316</v>
      </c>
      <c r="W201" s="41" t="s">
        <v>44</v>
      </c>
      <c r="X201" s="41" t="s">
        <v>328</v>
      </c>
      <c r="Y201" s="41">
        <v>3308</v>
      </c>
      <c r="Z201" s="41">
        <v>3797</v>
      </c>
    </row>
    <row r="202" spans="1:26" x14ac:dyDescent="0.2">
      <c r="A202" s="44">
        <v>2008</v>
      </c>
      <c r="B202" s="44" t="s">
        <v>316</v>
      </c>
      <c r="C202" s="44" t="s">
        <v>43</v>
      </c>
      <c r="D202" s="44" t="s">
        <v>118</v>
      </c>
      <c r="E202" s="44">
        <v>87252</v>
      </c>
      <c r="F202" s="44"/>
      <c r="G202" s="44">
        <v>17450</v>
      </c>
      <c r="O202" s="41">
        <f t="shared" si="12"/>
        <v>2028</v>
      </c>
      <c r="U202" s="41">
        <v>2008</v>
      </c>
      <c r="V202" s="41" t="s">
        <v>316</v>
      </c>
      <c r="W202" s="41" t="s">
        <v>44</v>
      </c>
      <c r="X202" s="41" t="s">
        <v>329</v>
      </c>
      <c r="Y202" s="41">
        <v>1936</v>
      </c>
      <c r="Z202" s="41">
        <v>2230</v>
      </c>
    </row>
    <row r="203" spans="1:26" x14ac:dyDescent="0.2">
      <c r="A203" s="43">
        <v>2008</v>
      </c>
      <c r="B203" s="43" t="s">
        <v>316</v>
      </c>
      <c r="C203" s="43" t="s">
        <v>43</v>
      </c>
      <c r="D203" s="43" t="s">
        <v>119</v>
      </c>
      <c r="E203" s="43">
        <v>70229</v>
      </c>
      <c r="F203" s="43"/>
      <c r="G203" s="43">
        <v>14046</v>
      </c>
      <c r="O203" s="41">
        <f t="shared" si="12"/>
        <v>1427</v>
      </c>
      <c r="U203" s="41">
        <v>2008</v>
      </c>
      <c r="V203" s="41" t="s">
        <v>316</v>
      </c>
      <c r="W203" s="41" t="s">
        <v>44</v>
      </c>
      <c r="X203" s="41" t="s">
        <v>330</v>
      </c>
      <c r="Y203" s="41">
        <v>336</v>
      </c>
      <c r="Z203" s="41">
        <v>512</v>
      </c>
    </row>
    <row r="204" spans="1:26" x14ac:dyDescent="0.2">
      <c r="A204" s="44">
        <v>2008</v>
      </c>
      <c r="B204" s="44" t="s">
        <v>316</v>
      </c>
      <c r="C204" s="44" t="s">
        <v>43</v>
      </c>
      <c r="D204" s="44" t="s">
        <v>120</v>
      </c>
      <c r="E204" s="44">
        <v>52504</v>
      </c>
      <c r="F204" s="44"/>
      <c r="G204" s="44">
        <v>10501</v>
      </c>
      <c r="O204" s="41">
        <f t="shared" si="12"/>
        <v>1250</v>
      </c>
    </row>
    <row r="205" spans="1:26" x14ac:dyDescent="0.2">
      <c r="A205" s="43">
        <v>2008</v>
      </c>
      <c r="B205" s="43" t="s">
        <v>316</v>
      </c>
      <c r="C205" s="43" t="s">
        <v>43</v>
      </c>
      <c r="D205" s="43" t="s">
        <v>121</v>
      </c>
      <c r="E205" s="43">
        <v>38834</v>
      </c>
      <c r="F205" s="43"/>
      <c r="G205" s="43">
        <v>7767</v>
      </c>
      <c r="O205" s="41">
        <f t="shared" si="12"/>
        <v>662</v>
      </c>
      <c r="U205" s="41">
        <v>2008</v>
      </c>
      <c r="V205" s="41" t="s">
        <v>316</v>
      </c>
      <c r="W205" s="41" t="s">
        <v>43</v>
      </c>
      <c r="X205" s="41" t="s">
        <v>197</v>
      </c>
      <c r="Y205" s="41">
        <v>153111</v>
      </c>
    </row>
    <row r="206" spans="1:26" x14ac:dyDescent="0.2">
      <c r="A206" s="44">
        <v>2008</v>
      </c>
      <c r="B206" s="44" t="s">
        <v>316</v>
      </c>
      <c r="C206" s="44" t="s">
        <v>43</v>
      </c>
      <c r="D206" s="44" t="s">
        <v>122</v>
      </c>
      <c r="E206" s="44">
        <v>31940</v>
      </c>
      <c r="F206" s="44"/>
      <c r="G206" s="44">
        <v>6388</v>
      </c>
      <c r="O206" s="41">
        <f t="shared" si="12"/>
        <v>387</v>
      </c>
      <c r="U206" s="41">
        <v>2008</v>
      </c>
      <c r="V206" s="41" t="s">
        <v>316</v>
      </c>
      <c r="W206" s="41" t="s">
        <v>43</v>
      </c>
      <c r="X206" s="41" t="s">
        <v>125</v>
      </c>
      <c r="Y206" s="41">
        <v>131298</v>
      </c>
    </row>
    <row r="207" spans="1:26" x14ac:dyDescent="0.2">
      <c r="A207" s="43">
        <v>2008</v>
      </c>
      <c r="B207" s="43" t="s">
        <v>316</v>
      </c>
      <c r="C207" s="43" t="s">
        <v>43</v>
      </c>
      <c r="D207" s="43" t="s">
        <v>123</v>
      </c>
      <c r="E207" s="43">
        <v>24863</v>
      </c>
      <c r="F207" s="43"/>
      <c r="G207" s="43">
        <v>4973</v>
      </c>
      <c r="O207" s="41">
        <f t="shared" si="12"/>
        <v>67</v>
      </c>
      <c r="U207" s="41">
        <v>2008</v>
      </c>
      <c r="V207" s="41" t="s">
        <v>316</v>
      </c>
      <c r="W207" s="41" t="s">
        <v>43</v>
      </c>
      <c r="X207" s="41" t="s">
        <v>126</v>
      </c>
      <c r="Y207" s="41">
        <v>113048</v>
      </c>
    </row>
    <row r="208" spans="1:26" x14ac:dyDescent="0.2">
      <c r="A208" s="44">
        <v>2008</v>
      </c>
      <c r="B208" s="44" t="s">
        <v>316</v>
      </c>
      <c r="C208" s="44" t="s">
        <v>43</v>
      </c>
      <c r="D208" s="44" t="s">
        <v>124</v>
      </c>
      <c r="E208" s="44">
        <v>19860</v>
      </c>
      <c r="F208" s="44"/>
      <c r="G208" s="44">
        <v>3972</v>
      </c>
      <c r="O208" s="41" t="e">
        <f>ROUND(0.2*#REF!,0)</f>
        <v>#REF!</v>
      </c>
      <c r="U208" s="41">
        <v>2008</v>
      </c>
      <c r="V208" s="41" t="s">
        <v>316</v>
      </c>
      <c r="W208" s="41" t="s">
        <v>43</v>
      </c>
      <c r="X208" s="41" t="s">
        <v>117</v>
      </c>
      <c r="Y208" s="41">
        <v>90621</v>
      </c>
    </row>
    <row r="209" spans="1:25" x14ac:dyDescent="0.2">
      <c r="A209" s="43">
        <v>2008</v>
      </c>
      <c r="B209" s="43" t="s">
        <v>316</v>
      </c>
      <c r="C209" s="43" t="s">
        <v>43</v>
      </c>
      <c r="D209" s="43" t="s">
        <v>127</v>
      </c>
      <c r="E209" s="43">
        <v>16619</v>
      </c>
      <c r="F209" s="43"/>
      <c r="G209" s="43">
        <v>3324</v>
      </c>
      <c r="O209" s="41">
        <f t="shared" ref="O209:O227" si="13">ROUND(0.2*E198,0)</f>
        <v>30622</v>
      </c>
      <c r="U209" s="41">
        <v>2008</v>
      </c>
      <c r="V209" s="41" t="s">
        <v>316</v>
      </c>
      <c r="W209" s="41" t="s">
        <v>43</v>
      </c>
      <c r="X209" s="41" t="s">
        <v>118</v>
      </c>
      <c r="Y209" s="41">
        <v>87252</v>
      </c>
    </row>
    <row r="210" spans="1:25" x14ac:dyDescent="0.2">
      <c r="A210" s="44">
        <v>2008</v>
      </c>
      <c r="B210" s="44" t="s">
        <v>316</v>
      </c>
      <c r="C210" s="44" t="s">
        <v>43</v>
      </c>
      <c r="D210" s="44" t="s">
        <v>215</v>
      </c>
      <c r="E210" s="44">
        <v>13782</v>
      </c>
      <c r="F210" s="44"/>
      <c r="G210" s="44">
        <v>2756</v>
      </c>
      <c r="O210" s="41">
        <f t="shared" si="13"/>
        <v>26260</v>
      </c>
      <c r="U210" s="41">
        <v>2008</v>
      </c>
      <c r="V210" s="41" t="s">
        <v>316</v>
      </c>
      <c r="W210" s="41" t="s">
        <v>43</v>
      </c>
      <c r="X210" s="41" t="s">
        <v>119</v>
      </c>
      <c r="Y210" s="41">
        <v>70229</v>
      </c>
    </row>
    <row r="211" spans="1:25" x14ac:dyDescent="0.2">
      <c r="A211" s="43">
        <v>2008</v>
      </c>
      <c r="B211" s="43" t="s">
        <v>316</v>
      </c>
      <c r="C211" s="43" t="s">
        <v>43</v>
      </c>
      <c r="D211" s="43" t="s">
        <v>216</v>
      </c>
      <c r="E211" s="43">
        <v>11832</v>
      </c>
      <c r="F211" s="43"/>
      <c r="G211" s="43">
        <v>2366</v>
      </c>
      <c r="O211" s="41">
        <f t="shared" si="13"/>
        <v>22610</v>
      </c>
      <c r="U211" s="41">
        <v>2008</v>
      </c>
      <c r="V211" s="41" t="s">
        <v>316</v>
      </c>
      <c r="W211" s="41" t="s">
        <v>43</v>
      </c>
      <c r="X211" s="41" t="s">
        <v>120</v>
      </c>
      <c r="Y211" s="41">
        <v>52504</v>
      </c>
    </row>
    <row r="212" spans="1:25" x14ac:dyDescent="0.2">
      <c r="A212" s="44">
        <v>2008</v>
      </c>
      <c r="B212" s="44" t="s">
        <v>316</v>
      </c>
      <c r="C212" s="44" t="s">
        <v>43</v>
      </c>
      <c r="D212" s="44" t="s">
        <v>326</v>
      </c>
      <c r="E212" s="44">
        <v>8744</v>
      </c>
      <c r="F212" s="44"/>
      <c r="G212" s="44">
        <v>1749</v>
      </c>
      <c r="O212" s="41">
        <f t="shared" si="13"/>
        <v>18124</v>
      </c>
      <c r="U212" s="41">
        <v>2008</v>
      </c>
      <c r="V212" s="41" t="s">
        <v>316</v>
      </c>
      <c r="W212" s="41" t="s">
        <v>43</v>
      </c>
      <c r="X212" s="41" t="s">
        <v>121</v>
      </c>
      <c r="Y212" s="41">
        <v>38834</v>
      </c>
    </row>
    <row r="213" spans="1:25" x14ac:dyDescent="0.2">
      <c r="A213" s="43">
        <v>2008</v>
      </c>
      <c r="B213" s="43" t="s">
        <v>316</v>
      </c>
      <c r="C213" s="43" t="s">
        <v>43</v>
      </c>
      <c r="D213" s="43" t="s">
        <v>327</v>
      </c>
      <c r="E213" s="43">
        <v>7456</v>
      </c>
      <c r="F213" s="43"/>
      <c r="G213" s="43">
        <v>1491</v>
      </c>
      <c r="O213" s="41">
        <f t="shared" si="13"/>
        <v>17450</v>
      </c>
      <c r="R213" s="41" t="s">
        <v>211</v>
      </c>
      <c r="U213" s="41">
        <v>2008</v>
      </c>
      <c r="V213" s="41" t="s">
        <v>316</v>
      </c>
      <c r="W213" s="41" t="s">
        <v>43</v>
      </c>
      <c r="X213" s="41" t="s">
        <v>122</v>
      </c>
      <c r="Y213" s="41">
        <v>31940</v>
      </c>
    </row>
    <row r="214" spans="1:25" x14ac:dyDescent="0.2">
      <c r="A214" s="44">
        <v>2008</v>
      </c>
      <c r="B214" s="44" t="s">
        <v>316</v>
      </c>
      <c r="C214" s="44" t="s">
        <v>43</v>
      </c>
      <c r="D214" s="44" t="s">
        <v>328</v>
      </c>
      <c r="E214" s="44">
        <v>3797</v>
      </c>
      <c r="F214" s="44"/>
      <c r="G214" s="44">
        <v>759</v>
      </c>
      <c r="O214" s="41">
        <f t="shared" si="13"/>
        <v>14046</v>
      </c>
      <c r="U214" s="41">
        <v>2008</v>
      </c>
      <c r="V214" s="41" t="s">
        <v>316</v>
      </c>
      <c r="W214" s="41" t="s">
        <v>43</v>
      </c>
      <c r="X214" s="41" t="s">
        <v>123</v>
      </c>
      <c r="Y214" s="41">
        <v>24863</v>
      </c>
    </row>
    <row r="215" spans="1:25" x14ac:dyDescent="0.2">
      <c r="A215" s="43">
        <v>2008</v>
      </c>
      <c r="B215" s="43" t="s">
        <v>316</v>
      </c>
      <c r="C215" s="43" t="s">
        <v>43</v>
      </c>
      <c r="D215" s="43" t="s">
        <v>329</v>
      </c>
      <c r="E215" s="43">
        <v>2230</v>
      </c>
      <c r="F215" s="43"/>
      <c r="G215" s="43">
        <v>446</v>
      </c>
      <c r="O215" s="41">
        <f t="shared" si="13"/>
        <v>10501</v>
      </c>
      <c r="U215" s="41">
        <v>2008</v>
      </c>
      <c r="V215" s="41" t="s">
        <v>316</v>
      </c>
      <c r="W215" s="41" t="s">
        <v>43</v>
      </c>
      <c r="X215" s="41" t="s">
        <v>124</v>
      </c>
      <c r="Y215" s="41">
        <v>19860</v>
      </c>
    </row>
    <row r="216" spans="1:25" x14ac:dyDescent="0.2">
      <c r="A216" s="44">
        <v>2008</v>
      </c>
      <c r="B216" s="44" t="s">
        <v>316</v>
      </c>
      <c r="C216" s="44" t="s">
        <v>43</v>
      </c>
      <c r="D216" s="44" t="s">
        <v>330</v>
      </c>
      <c r="E216" s="44">
        <v>512</v>
      </c>
      <c r="F216" s="44"/>
      <c r="G216" s="44">
        <v>102</v>
      </c>
      <c r="O216" s="41">
        <f t="shared" si="13"/>
        <v>7767</v>
      </c>
      <c r="U216" s="41">
        <v>2008</v>
      </c>
      <c r="V216" s="41" t="s">
        <v>316</v>
      </c>
      <c r="W216" s="41" t="s">
        <v>43</v>
      </c>
      <c r="X216" s="41" t="s">
        <v>127</v>
      </c>
      <c r="Y216" s="41">
        <v>16619</v>
      </c>
    </row>
    <row r="217" spans="1:25" x14ac:dyDescent="0.2">
      <c r="A217" s="44">
        <v>2008</v>
      </c>
      <c r="B217" s="44" t="s">
        <v>317</v>
      </c>
      <c r="C217" s="44" t="s">
        <v>44</v>
      </c>
      <c r="D217" s="44" t="s">
        <v>197</v>
      </c>
      <c r="E217" s="44">
        <v>495131</v>
      </c>
      <c r="F217" s="44"/>
      <c r="G217" s="44">
        <v>99026</v>
      </c>
      <c r="O217" s="41">
        <f t="shared" si="13"/>
        <v>6388</v>
      </c>
      <c r="U217" s="41">
        <v>2008</v>
      </c>
      <c r="V217" s="41" t="s">
        <v>316</v>
      </c>
      <c r="W217" s="41" t="s">
        <v>43</v>
      </c>
      <c r="X217" s="41" t="s">
        <v>215</v>
      </c>
      <c r="Y217" s="41">
        <v>13782</v>
      </c>
    </row>
    <row r="218" spans="1:25" x14ac:dyDescent="0.2">
      <c r="A218" s="43">
        <v>2008</v>
      </c>
      <c r="B218" s="43" t="s">
        <v>317</v>
      </c>
      <c r="C218" s="43" t="s">
        <v>44</v>
      </c>
      <c r="D218" s="43" t="s">
        <v>125</v>
      </c>
      <c r="E218" s="43">
        <v>407639</v>
      </c>
      <c r="F218" s="43"/>
      <c r="G218" s="43">
        <v>81528</v>
      </c>
      <c r="O218" s="41">
        <f t="shared" si="13"/>
        <v>4973</v>
      </c>
      <c r="U218" s="41">
        <v>2008</v>
      </c>
      <c r="V218" s="41" t="s">
        <v>316</v>
      </c>
      <c r="W218" s="41" t="s">
        <v>43</v>
      </c>
      <c r="X218" s="41" t="s">
        <v>216</v>
      </c>
      <c r="Y218" s="41">
        <v>11832</v>
      </c>
    </row>
    <row r="219" spans="1:25" x14ac:dyDescent="0.2">
      <c r="A219" s="44">
        <v>2008</v>
      </c>
      <c r="B219" s="44" t="s">
        <v>317</v>
      </c>
      <c r="C219" s="44" t="s">
        <v>44</v>
      </c>
      <c r="D219" s="44" t="s">
        <v>126</v>
      </c>
      <c r="E219" s="44">
        <v>349126</v>
      </c>
      <c r="F219" s="44"/>
      <c r="G219" s="44">
        <v>69825</v>
      </c>
      <c r="O219" s="41">
        <f t="shared" si="13"/>
        <v>3972</v>
      </c>
      <c r="U219" s="41">
        <v>2008</v>
      </c>
      <c r="V219" s="41" t="s">
        <v>316</v>
      </c>
      <c r="W219" s="41" t="s">
        <v>43</v>
      </c>
      <c r="X219" s="41" t="s">
        <v>326</v>
      </c>
      <c r="Y219" s="41">
        <v>8744</v>
      </c>
    </row>
    <row r="220" spans="1:25" x14ac:dyDescent="0.2">
      <c r="A220" s="43">
        <v>2008</v>
      </c>
      <c r="B220" s="43" t="s">
        <v>317</v>
      </c>
      <c r="C220" s="43" t="s">
        <v>44</v>
      </c>
      <c r="D220" s="43" t="s">
        <v>117</v>
      </c>
      <c r="E220" s="43">
        <v>265902</v>
      </c>
      <c r="F220" s="43"/>
      <c r="G220" s="43">
        <v>53180</v>
      </c>
      <c r="O220" s="41">
        <f t="shared" si="13"/>
        <v>3324</v>
      </c>
      <c r="U220" s="41">
        <v>2008</v>
      </c>
      <c r="V220" s="41" t="s">
        <v>316</v>
      </c>
      <c r="W220" s="41" t="s">
        <v>43</v>
      </c>
      <c r="X220" s="41" t="s">
        <v>327</v>
      </c>
      <c r="Y220" s="41">
        <v>7456</v>
      </c>
    </row>
    <row r="221" spans="1:25" x14ac:dyDescent="0.2">
      <c r="A221" s="44">
        <v>2008</v>
      </c>
      <c r="B221" s="44" t="s">
        <v>317</v>
      </c>
      <c r="C221" s="44" t="s">
        <v>44</v>
      </c>
      <c r="D221" s="44" t="s">
        <v>118</v>
      </c>
      <c r="E221" s="44">
        <v>242310</v>
      </c>
      <c r="F221" s="44"/>
      <c r="G221" s="44">
        <v>48462</v>
      </c>
      <c r="O221" s="41">
        <f t="shared" si="13"/>
        <v>2756</v>
      </c>
      <c r="U221" s="41">
        <v>2008</v>
      </c>
      <c r="V221" s="41" t="s">
        <v>316</v>
      </c>
      <c r="W221" s="41" t="s">
        <v>43</v>
      </c>
      <c r="X221" s="41" t="s">
        <v>328</v>
      </c>
      <c r="Y221" s="41">
        <v>3797</v>
      </c>
    </row>
    <row r="222" spans="1:25" x14ac:dyDescent="0.2">
      <c r="A222" s="43">
        <v>2008</v>
      </c>
      <c r="B222" s="43" t="s">
        <v>317</v>
      </c>
      <c r="C222" s="43" t="s">
        <v>44</v>
      </c>
      <c r="D222" s="43" t="s">
        <v>119</v>
      </c>
      <c r="E222" s="43">
        <v>230112</v>
      </c>
      <c r="F222" s="43"/>
      <c r="G222" s="43">
        <v>46022</v>
      </c>
      <c r="O222" s="41">
        <f t="shared" si="13"/>
        <v>2366</v>
      </c>
      <c r="U222" s="41">
        <v>2008</v>
      </c>
      <c r="V222" s="41" t="s">
        <v>316</v>
      </c>
      <c r="W222" s="41" t="s">
        <v>43</v>
      </c>
      <c r="X222" s="41" t="s">
        <v>329</v>
      </c>
      <c r="Y222" s="41">
        <v>2230</v>
      </c>
    </row>
    <row r="223" spans="1:25" x14ac:dyDescent="0.2">
      <c r="A223" s="44">
        <v>2008</v>
      </c>
      <c r="B223" s="44" t="s">
        <v>317</v>
      </c>
      <c r="C223" s="44" t="s">
        <v>44</v>
      </c>
      <c r="D223" s="44" t="s">
        <v>120</v>
      </c>
      <c r="E223" s="44">
        <v>181868</v>
      </c>
      <c r="F223" s="44"/>
      <c r="G223" s="44">
        <v>36374</v>
      </c>
      <c r="O223" s="41">
        <f t="shared" si="13"/>
        <v>1749</v>
      </c>
      <c r="U223" s="41">
        <v>2008</v>
      </c>
      <c r="V223" s="41" t="s">
        <v>316</v>
      </c>
      <c r="W223" s="41" t="s">
        <v>43</v>
      </c>
      <c r="X223" s="41" t="s">
        <v>330</v>
      </c>
      <c r="Y223" s="41">
        <v>512</v>
      </c>
    </row>
    <row r="224" spans="1:25" x14ac:dyDescent="0.2">
      <c r="A224" s="43">
        <v>2008</v>
      </c>
      <c r="B224" s="43" t="s">
        <v>317</v>
      </c>
      <c r="C224" s="43" t="s">
        <v>44</v>
      </c>
      <c r="D224" s="43" t="s">
        <v>121</v>
      </c>
      <c r="E224" s="43">
        <v>141354</v>
      </c>
      <c r="F224" s="43"/>
      <c r="G224" s="43">
        <v>28271</v>
      </c>
      <c r="O224" s="41">
        <f t="shared" si="13"/>
        <v>1491</v>
      </c>
    </row>
    <row r="225" spans="1:26" x14ac:dyDescent="0.2">
      <c r="A225" s="44">
        <v>2008</v>
      </c>
      <c r="B225" s="44" t="s">
        <v>317</v>
      </c>
      <c r="C225" s="44" t="s">
        <v>44</v>
      </c>
      <c r="D225" s="44" t="s">
        <v>122</v>
      </c>
      <c r="E225" s="44">
        <v>95323</v>
      </c>
      <c r="F225" s="44"/>
      <c r="G225" s="44">
        <v>19065</v>
      </c>
      <c r="O225" s="41">
        <f t="shared" si="13"/>
        <v>759</v>
      </c>
      <c r="Y225" s="41" t="s">
        <v>323</v>
      </c>
      <c r="Z225" s="41" t="s">
        <v>324</v>
      </c>
    </row>
    <row r="226" spans="1:26" x14ac:dyDescent="0.2">
      <c r="A226" s="43">
        <v>2008</v>
      </c>
      <c r="B226" s="43" t="s">
        <v>317</v>
      </c>
      <c r="C226" s="43" t="s">
        <v>44</v>
      </c>
      <c r="D226" s="43" t="s">
        <v>123</v>
      </c>
      <c r="E226" s="43">
        <v>73611</v>
      </c>
      <c r="F226" s="43"/>
      <c r="G226" s="43">
        <v>14722</v>
      </c>
      <c r="O226" s="41">
        <f t="shared" si="13"/>
        <v>446</v>
      </c>
      <c r="U226" s="41">
        <v>2008</v>
      </c>
      <c r="V226" s="41" t="s">
        <v>317</v>
      </c>
      <c r="W226" s="41" t="s">
        <v>44</v>
      </c>
      <c r="X226" s="41" t="s">
        <v>197</v>
      </c>
      <c r="Y226" s="41">
        <v>495131</v>
      </c>
      <c r="Z226" s="41">
        <v>504648</v>
      </c>
    </row>
    <row r="227" spans="1:26" x14ac:dyDescent="0.2">
      <c r="A227" s="44">
        <v>2008</v>
      </c>
      <c r="B227" s="44" t="s">
        <v>317</v>
      </c>
      <c r="C227" s="44" t="s">
        <v>44</v>
      </c>
      <c r="D227" s="44" t="s">
        <v>124</v>
      </c>
      <c r="E227" s="44">
        <v>54342</v>
      </c>
      <c r="F227" s="44"/>
      <c r="G227" s="44">
        <v>10868</v>
      </c>
      <c r="O227" s="41">
        <f t="shared" si="13"/>
        <v>102</v>
      </c>
      <c r="U227" s="41">
        <v>2008</v>
      </c>
      <c r="V227" s="41" t="s">
        <v>317</v>
      </c>
      <c r="W227" s="41" t="s">
        <v>44</v>
      </c>
      <c r="X227" s="41" t="s">
        <v>125</v>
      </c>
      <c r="Y227" s="41">
        <v>407639</v>
      </c>
      <c r="Z227" s="41">
        <v>416641</v>
      </c>
    </row>
    <row r="228" spans="1:26" x14ac:dyDescent="0.2">
      <c r="A228" s="43">
        <v>2008</v>
      </c>
      <c r="B228" s="43" t="s">
        <v>317</v>
      </c>
      <c r="C228" s="43" t="s">
        <v>44</v>
      </c>
      <c r="D228" s="43" t="s">
        <v>127</v>
      </c>
      <c r="E228" s="43">
        <v>50699</v>
      </c>
      <c r="F228" s="43"/>
      <c r="G228" s="43">
        <v>10140</v>
      </c>
      <c r="O228" s="41" t="e">
        <f>ROUND(0.2*#REF!,0)</f>
        <v>#REF!</v>
      </c>
      <c r="U228" s="41">
        <v>2008</v>
      </c>
      <c r="V228" s="41" t="s">
        <v>317</v>
      </c>
      <c r="W228" s="41" t="s">
        <v>44</v>
      </c>
      <c r="X228" s="41" t="s">
        <v>126</v>
      </c>
      <c r="Y228" s="41">
        <v>349126</v>
      </c>
      <c r="Z228" s="41">
        <v>355177</v>
      </c>
    </row>
    <row r="229" spans="1:26" x14ac:dyDescent="0.2">
      <c r="A229" s="44">
        <v>2008</v>
      </c>
      <c r="B229" s="44" t="s">
        <v>317</v>
      </c>
      <c r="C229" s="44" t="s">
        <v>44</v>
      </c>
      <c r="D229" s="44" t="s">
        <v>215</v>
      </c>
      <c r="E229" s="44">
        <v>35486</v>
      </c>
      <c r="F229" s="44"/>
      <c r="G229" s="44">
        <v>7097</v>
      </c>
      <c r="O229" s="41">
        <f t="shared" ref="O229:O247" si="14">ROUND(0.2*E217,0)</f>
        <v>99026</v>
      </c>
      <c r="U229" s="41">
        <v>2008</v>
      </c>
      <c r="V229" s="41" t="s">
        <v>317</v>
      </c>
      <c r="W229" s="41" t="s">
        <v>44</v>
      </c>
      <c r="X229" s="41" t="s">
        <v>117</v>
      </c>
      <c r="Y229" s="41">
        <v>265902</v>
      </c>
      <c r="Z229" s="41">
        <v>273106</v>
      </c>
    </row>
    <row r="230" spans="1:26" x14ac:dyDescent="0.2">
      <c r="A230" s="43">
        <v>2008</v>
      </c>
      <c r="B230" s="43" t="s">
        <v>317</v>
      </c>
      <c r="C230" s="43" t="s">
        <v>44</v>
      </c>
      <c r="D230" s="43" t="s">
        <v>216</v>
      </c>
      <c r="E230" s="43">
        <v>30090</v>
      </c>
      <c r="F230" s="43"/>
      <c r="G230" s="43">
        <v>6018</v>
      </c>
      <c r="O230" s="41">
        <f t="shared" si="14"/>
        <v>81528</v>
      </c>
      <c r="U230" s="41">
        <v>2008</v>
      </c>
      <c r="V230" s="41" t="s">
        <v>317</v>
      </c>
      <c r="W230" s="41" t="s">
        <v>44</v>
      </c>
      <c r="X230" s="41" t="s">
        <v>118</v>
      </c>
      <c r="Y230" s="41">
        <v>242310</v>
      </c>
      <c r="Z230" s="41">
        <v>287296</v>
      </c>
    </row>
    <row r="231" spans="1:26" x14ac:dyDescent="0.2">
      <c r="A231" s="44">
        <v>2008</v>
      </c>
      <c r="B231" s="44" t="s">
        <v>317</v>
      </c>
      <c r="C231" s="44" t="s">
        <v>44</v>
      </c>
      <c r="D231" s="44" t="s">
        <v>326</v>
      </c>
      <c r="E231" s="44">
        <v>18202</v>
      </c>
      <c r="F231" s="44"/>
      <c r="G231" s="44">
        <v>3640</v>
      </c>
      <c r="O231" s="41">
        <f t="shared" si="14"/>
        <v>69825</v>
      </c>
      <c r="U231" s="41">
        <v>2008</v>
      </c>
      <c r="V231" s="41" t="s">
        <v>317</v>
      </c>
      <c r="W231" s="41" t="s">
        <v>44</v>
      </c>
      <c r="X231" s="41" t="s">
        <v>119</v>
      </c>
      <c r="Y231" s="41">
        <v>230112</v>
      </c>
      <c r="Z231" s="41">
        <v>236339</v>
      </c>
    </row>
    <row r="232" spans="1:26" x14ac:dyDescent="0.2">
      <c r="A232" s="43">
        <v>2008</v>
      </c>
      <c r="B232" s="43" t="s">
        <v>317</v>
      </c>
      <c r="C232" s="43" t="s">
        <v>44</v>
      </c>
      <c r="D232" s="43" t="s">
        <v>327</v>
      </c>
      <c r="E232" s="43">
        <v>18391</v>
      </c>
      <c r="F232" s="43"/>
      <c r="G232" s="43">
        <v>3678</v>
      </c>
      <c r="O232" s="41">
        <f t="shared" si="14"/>
        <v>53180</v>
      </c>
      <c r="U232" s="41">
        <v>2008</v>
      </c>
      <c r="V232" s="41" t="s">
        <v>317</v>
      </c>
      <c r="W232" s="41" t="s">
        <v>44</v>
      </c>
      <c r="X232" s="41" t="s">
        <v>120</v>
      </c>
      <c r="Y232" s="41">
        <v>181868</v>
      </c>
      <c r="Z232" s="41">
        <v>174234</v>
      </c>
    </row>
    <row r="233" spans="1:26" x14ac:dyDescent="0.2">
      <c r="A233" s="44">
        <v>2008</v>
      </c>
      <c r="B233" s="44" t="s">
        <v>317</v>
      </c>
      <c r="C233" s="44" t="s">
        <v>44</v>
      </c>
      <c r="D233" s="44" t="s">
        <v>328</v>
      </c>
      <c r="E233" s="44">
        <v>8077</v>
      </c>
      <c r="F233" s="44"/>
      <c r="G233" s="44">
        <v>1615</v>
      </c>
      <c r="O233" s="41">
        <f t="shared" si="14"/>
        <v>48462</v>
      </c>
      <c r="U233" s="41">
        <v>2008</v>
      </c>
      <c r="V233" s="41" t="s">
        <v>317</v>
      </c>
      <c r="W233" s="41" t="s">
        <v>44</v>
      </c>
      <c r="X233" s="41" t="s">
        <v>121</v>
      </c>
      <c r="Y233" s="41">
        <v>141354</v>
      </c>
      <c r="Z233" s="41">
        <v>125888</v>
      </c>
    </row>
    <row r="234" spans="1:26" x14ac:dyDescent="0.2">
      <c r="A234" s="43">
        <v>2008</v>
      </c>
      <c r="B234" s="43" t="s">
        <v>317</v>
      </c>
      <c r="C234" s="43" t="s">
        <v>44</v>
      </c>
      <c r="D234" s="43" t="s">
        <v>329</v>
      </c>
      <c r="E234" s="43">
        <v>6024</v>
      </c>
      <c r="F234" s="43"/>
      <c r="G234" s="43">
        <v>1205</v>
      </c>
      <c r="O234" s="41">
        <f t="shared" si="14"/>
        <v>46022</v>
      </c>
      <c r="U234" s="41">
        <v>2008</v>
      </c>
      <c r="V234" s="41" t="s">
        <v>317</v>
      </c>
      <c r="W234" s="41" t="s">
        <v>44</v>
      </c>
      <c r="X234" s="41" t="s">
        <v>122</v>
      </c>
      <c r="Y234" s="41">
        <v>95323</v>
      </c>
      <c r="Z234" s="41">
        <v>93852</v>
      </c>
    </row>
    <row r="235" spans="1:26" x14ac:dyDescent="0.2">
      <c r="A235" s="44">
        <v>2008</v>
      </c>
      <c r="B235" s="44" t="s">
        <v>317</v>
      </c>
      <c r="C235" s="44" t="s">
        <v>44</v>
      </c>
      <c r="D235" s="44" t="s">
        <v>330</v>
      </c>
      <c r="E235" s="44">
        <v>2078</v>
      </c>
      <c r="F235" s="44"/>
      <c r="G235" s="44">
        <v>416</v>
      </c>
      <c r="O235" s="41">
        <f t="shared" si="14"/>
        <v>36374</v>
      </c>
      <c r="U235" s="41">
        <v>2008</v>
      </c>
      <c r="V235" s="41" t="s">
        <v>317</v>
      </c>
      <c r="W235" s="41" t="s">
        <v>44</v>
      </c>
      <c r="X235" s="41" t="s">
        <v>123</v>
      </c>
      <c r="Y235" s="41">
        <v>73611</v>
      </c>
      <c r="Z235" s="41">
        <v>72666</v>
      </c>
    </row>
    <row r="236" spans="1:26" x14ac:dyDescent="0.2">
      <c r="A236" s="44">
        <v>2008</v>
      </c>
      <c r="B236" s="44" t="s">
        <v>317</v>
      </c>
      <c r="C236" s="44" t="s">
        <v>43</v>
      </c>
      <c r="D236" s="44" t="s">
        <v>197</v>
      </c>
      <c r="E236" s="44">
        <v>504648</v>
      </c>
      <c r="F236" s="44"/>
      <c r="G236" s="44">
        <v>100930</v>
      </c>
      <c r="O236" s="41">
        <f t="shared" si="14"/>
        <v>28271</v>
      </c>
      <c r="U236" s="41">
        <v>2008</v>
      </c>
      <c r="V236" s="41" t="s">
        <v>317</v>
      </c>
      <c r="W236" s="41" t="s">
        <v>44</v>
      </c>
      <c r="X236" s="41" t="s">
        <v>124</v>
      </c>
      <c r="Y236" s="41">
        <v>54342</v>
      </c>
      <c r="Z236" s="41">
        <v>58498</v>
      </c>
    </row>
    <row r="237" spans="1:26" x14ac:dyDescent="0.2">
      <c r="A237" s="43">
        <v>2008</v>
      </c>
      <c r="B237" s="43" t="s">
        <v>317</v>
      </c>
      <c r="C237" s="43" t="s">
        <v>43</v>
      </c>
      <c r="D237" s="43" t="s">
        <v>125</v>
      </c>
      <c r="E237" s="43">
        <v>416641</v>
      </c>
      <c r="F237" s="43"/>
      <c r="G237" s="43">
        <v>83328</v>
      </c>
      <c r="O237" s="41">
        <f t="shared" si="14"/>
        <v>19065</v>
      </c>
      <c r="U237" s="41">
        <v>2008</v>
      </c>
      <c r="V237" s="41" t="s">
        <v>317</v>
      </c>
      <c r="W237" s="41" t="s">
        <v>44</v>
      </c>
      <c r="X237" s="41" t="s">
        <v>127</v>
      </c>
      <c r="Y237" s="41">
        <v>50699</v>
      </c>
      <c r="Z237" s="41">
        <v>53368</v>
      </c>
    </row>
    <row r="238" spans="1:26" x14ac:dyDescent="0.2">
      <c r="A238" s="44">
        <v>2008</v>
      </c>
      <c r="B238" s="44" t="s">
        <v>317</v>
      </c>
      <c r="C238" s="44" t="s">
        <v>43</v>
      </c>
      <c r="D238" s="44" t="s">
        <v>126</v>
      </c>
      <c r="E238" s="44">
        <v>355177</v>
      </c>
      <c r="F238" s="44"/>
      <c r="G238" s="44">
        <v>71035</v>
      </c>
      <c r="O238" s="41">
        <f t="shared" si="14"/>
        <v>14722</v>
      </c>
      <c r="U238" s="41">
        <v>2008</v>
      </c>
      <c r="V238" s="41" t="s">
        <v>317</v>
      </c>
      <c r="W238" s="41" t="s">
        <v>44</v>
      </c>
      <c r="X238" s="41" t="s">
        <v>215</v>
      </c>
      <c r="Y238" s="41">
        <v>35486</v>
      </c>
      <c r="Z238" s="41">
        <v>39400</v>
      </c>
    </row>
    <row r="239" spans="1:26" x14ac:dyDescent="0.2">
      <c r="A239" s="43">
        <v>2008</v>
      </c>
      <c r="B239" s="43" t="s">
        <v>317</v>
      </c>
      <c r="C239" s="43" t="s">
        <v>43</v>
      </c>
      <c r="D239" s="43" t="s">
        <v>117</v>
      </c>
      <c r="E239" s="43">
        <v>273106</v>
      </c>
      <c r="F239" s="43"/>
      <c r="G239" s="43">
        <v>54621</v>
      </c>
      <c r="O239" s="41">
        <f t="shared" si="14"/>
        <v>10868</v>
      </c>
      <c r="U239" s="41">
        <v>2008</v>
      </c>
      <c r="V239" s="41" t="s">
        <v>317</v>
      </c>
      <c r="W239" s="41" t="s">
        <v>44</v>
      </c>
      <c r="X239" s="41" t="s">
        <v>216</v>
      </c>
      <c r="Y239" s="41">
        <v>30090</v>
      </c>
      <c r="Z239" s="41">
        <v>33880</v>
      </c>
    </row>
    <row r="240" spans="1:26" x14ac:dyDescent="0.2">
      <c r="A240" s="44">
        <v>2008</v>
      </c>
      <c r="B240" s="44" t="s">
        <v>317</v>
      </c>
      <c r="C240" s="44" t="s">
        <v>43</v>
      </c>
      <c r="D240" s="44" t="s">
        <v>118</v>
      </c>
      <c r="E240" s="44">
        <v>287296</v>
      </c>
      <c r="F240" s="44"/>
      <c r="G240" s="44">
        <v>57459</v>
      </c>
      <c r="O240" s="41">
        <f t="shared" si="14"/>
        <v>10140</v>
      </c>
      <c r="U240" s="41">
        <v>2008</v>
      </c>
      <c r="V240" s="41" t="s">
        <v>317</v>
      </c>
      <c r="W240" s="41" t="s">
        <v>44</v>
      </c>
      <c r="X240" s="41" t="s">
        <v>326</v>
      </c>
      <c r="Y240" s="41">
        <v>18202</v>
      </c>
      <c r="Z240" s="41">
        <v>24488</v>
      </c>
    </row>
    <row r="241" spans="1:26" x14ac:dyDescent="0.2">
      <c r="A241" s="43">
        <v>2008</v>
      </c>
      <c r="B241" s="43" t="s">
        <v>317</v>
      </c>
      <c r="C241" s="43" t="s">
        <v>43</v>
      </c>
      <c r="D241" s="43" t="s">
        <v>119</v>
      </c>
      <c r="E241" s="43">
        <v>236339</v>
      </c>
      <c r="F241" s="43"/>
      <c r="G241" s="43">
        <v>47268</v>
      </c>
      <c r="O241" s="41">
        <f t="shared" si="14"/>
        <v>7097</v>
      </c>
      <c r="U241" s="41">
        <v>2008</v>
      </c>
      <c r="V241" s="41" t="s">
        <v>317</v>
      </c>
      <c r="W241" s="41" t="s">
        <v>44</v>
      </c>
      <c r="X241" s="41" t="s">
        <v>327</v>
      </c>
      <c r="Y241" s="41">
        <v>18391</v>
      </c>
      <c r="Z241" s="41">
        <v>23683</v>
      </c>
    </row>
    <row r="242" spans="1:26" x14ac:dyDescent="0.2">
      <c r="A242" s="44">
        <v>2008</v>
      </c>
      <c r="B242" s="44" t="s">
        <v>317</v>
      </c>
      <c r="C242" s="44" t="s">
        <v>43</v>
      </c>
      <c r="D242" s="44" t="s">
        <v>120</v>
      </c>
      <c r="E242" s="44">
        <v>174234</v>
      </c>
      <c r="F242" s="44"/>
      <c r="G242" s="44">
        <v>34847</v>
      </c>
      <c r="O242" s="41">
        <f t="shared" si="14"/>
        <v>6018</v>
      </c>
      <c r="U242" s="41">
        <v>2008</v>
      </c>
      <c r="V242" s="41" t="s">
        <v>317</v>
      </c>
      <c r="W242" s="41" t="s">
        <v>44</v>
      </c>
      <c r="X242" s="41" t="s">
        <v>328</v>
      </c>
      <c r="Y242" s="41">
        <v>8077</v>
      </c>
      <c r="Z242" s="41">
        <v>12838</v>
      </c>
    </row>
    <row r="243" spans="1:26" x14ac:dyDescent="0.2">
      <c r="A243" s="43">
        <v>2008</v>
      </c>
      <c r="B243" s="43" t="s">
        <v>317</v>
      </c>
      <c r="C243" s="43" t="s">
        <v>43</v>
      </c>
      <c r="D243" s="43" t="s">
        <v>121</v>
      </c>
      <c r="E243" s="43">
        <v>125888</v>
      </c>
      <c r="F243" s="43"/>
      <c r="G243" s="43">
        <v>25178</v>
      </c>
      <c r="O243" s="41">
        <f t="shared" si="14"/>
        <v>3640</v>
      </c>
      <c r="U243" s="41">
        <v>2008</v>
      </c>
      <c r="V243" s="41" t="s">
        <v>317</v>
      </c>
      <c r="W243" s="41" t="s">
        <v>44</v>
      </c>
      <c r="X243" s="41" t="s">
        <v>329</v>
      </c>
      <c r="Y243" s="41">
        <v>6024</v>
      </c>
      <c r="Z243" s="41">
        <v>8663</v>
      </c>
    </row>
    <row r="244" spans="1:26" x14ac:dyDescent="0.2">
      <c r="A244" s="44">
        <v>2008</v>
      </c>
      <c r="B244" s="44" t="s">
        <v>317</v>
      </c>
      <c r="C244" s="44" t="s">
        <v>43</v>
      </c>
      <c r="D244" s="44" t="s">
        <v>122</v>
      </c>
      <c r="E244" s="44">
        <v>93852</v>
      </c>
      <c r="F244" s="44"/>
      <c r="G244" s="44">
        <v>18770</v>
      </c>
      <c r="O244" s="41">
        <f t="shared" si="14"/>
        <v>3678</v>
      </c>
      <c r="U244" s="41">
        <v>2008</v>
      </c>
      <c r="V244" s="41" t="s">
        <v>317</v>
      </c>
      <c r="W244" s="41" t="s">
        <v>44</v>
      </c>
      <c r="X244" s="41" t="s">
        <v>330</v>
      </c>
      <c r="Y244" s="41">
        <v>2078</v>
      </c>
      <c r="Z244" s="41">
        <v>3659</v>
      </c>
    </row>
    <row r="245" spans="1:26" x14ac:dyDescent="0.2">
      <c r="A245" s="43">
        <v>2008</v>
      </c>
      <c r="B245" s="43" t="s">
        <v>317</v>
      </c>
      <c r="C245" s="43" t="s">
        <v>43</v>
      </c>
      <c r="D245" s="43" t="s">
        <v>123</v>
      </c>
      <c r="E245" s="43">
        <v>72666</v>
      </c>
      <c r="F245" s="43"/>
      <c r="G245" s="43">
        <v>14533</v>
      </c>
      <c r="O245" s="41">
        <f t="shared" si="14"/>
        <v>1615</v>
      </c>
      <c r="Y245" s="41" t="s">
        <v>211</v>
      </c>
    </row>
    <row r="246" spans="1:26" x14ac:dyDescent="0.2">
      <c r="A246" s="44">
        <v>2008</v>
      </c>
      <c r="B246" s="44" t="s">
        <v>317</v>
      </c>
      <c r="C246" s="44" t="s">
        <v>43</v>
      </c>
      <c r="D246" s="44" t="s">
        <v>124</v>
      </c>
      <c r="E246" s="44">
        <v>58498</v>
      </c>
      <c r="F246" s="44"/>
      <c r="G246" s="44">
        <v>11700</v>
      </c>
      <c r="O246" s="41">
        <f t="shared" si="14"/>
        <v>1205</v>
      </c>
      <c r="U246" s="41">
        <v>2008</v>
      </c>
      <c r="V246" s="41" t="s">
        <v>317</v>
      </c>
      <c r="W246" s="41" t="s">
        <v>43</v>
      </c>
      <c r="X246" s="41" t="s">
        <v>197</v>
      </c>
      <c r="Y246" s="41">
        <v>504648</v>
      </c>
    </row>
    <row r="247" spans="1:26" x14ac:dyDescent="0.2">
      <c r="A247" s="43">
        <v>2008</v>
      </c>
      <c r="B247" s="43" t="s">
        <v>317</v>
      </c>
      <c r="C247" s="43" t="s">
        <v>43</v>
      </c>
      <c r="D247" s="43" t="s">
        <v>127</v>
      </c>
      <c r="E247" s="43">
        <v>53368</v>
      </c>
      <c r="F247" s="43"/>
      <c r="G247" s="43">
        <v>10674</v>
      </c>
      <c r="O247" s="41">
        <f t="shared" si="14"/>
        <v>416</v>
      </c>
      <c r="U247" s="41">
        <v>2008</v>
      </c>
      <c r="V247" s="41" t="s">
        <v>317</v>
      </c>
      <c r="W247" s="41" t="s">
        <v>43</v>
      </c>
      <c r="X247" s="41" t="s">
        <v>125</v>
      </c>
      <c r="Y247" s="41">
        <v>416641</v>
      </c>
    </row>
    <row r="248" spans="1:26" x14ac:dyDescent="0.2">
      <c r="A248" s="44">
        <v>2008</v>
      </c>
      <c r="B248" s="44" t="s">
        <v>317</v>
      </c>
      <c r="C248" s="44" t="s">
        <v>43</v>
      </c>
      <c r="D248" s="44" t="s">
        <v>215</v>
      </c>
      <c r="E248" s="44">
        <v>39400</v>
      </c>
      <c r="F248" s="44"/>
      <c r="G248" s="44">
        <v>7880</v>
      </c>
      <c r="O248" s="41" t="e">
        <f>ROUND(0.2*#REF!,0)</f>
        <v>#REF!</v>
      </c>
      <c r="U248" s="41">
        <v>2008</v>
      </c>
      <c r="V248" s="41" t="s">
        <v>317</v>
      </c>
      <c r="W248" s="41" t="s">
        <v>43</v>
      </c>
      <c r="X248" s="41" t="s">
        <v>126</v>
      </c>
      <c r="Y248" s="41">
        <v>355177</v>
      </c>
    </row>
    <row r="249" spans="1:26" x14ac:dyDescent="0.2">
      <c r="A249" s="43">
        <v>2008</v>
      </c>
      <c r="B249" s="43" t="s">
        <v>317</v>
      </c>
      <c r="C249" s="43" t="s">
        <v>43</v>
      </c>
      <c r="D249" s="43" t="s">
        <v>216</v>
      </c>
      <c r="E249" s="43">
        <v>33880</v>
      </c>
      <c r="F249" s="43"/>
      <c r="G249" s="43">
        <v>6776</v>
      </c>
      <c r="O249" s="41">
        <f t="shared" ref="O249:O267" si="15">ROUND(0.2*E236,0)</f>
        <v>100930</v>
      </c>
      <c r="U249" s="41">
        <v>2008</v>
      </c>
      <c r="V249" s="41" t="s">
        <v>317</v>
      </c>
      <c r="W249" s="41" t="s">
        <v>43</v>
      </c>
      <c r="X249" s="41" t="s">
        <v>117</v>
      </c>
      <c r="Y249" s="41">
        <v>273106</v>
      </c>
    </row>
    <row r="250" spans="1:26" x14ac:dyDescent="0.2">
      <c r="A250" s="44">
        <v>2008</v>
      </c>
      <c r="B250" s="44" t="s">
        <v>317</v>
      </c>
      <c r="C250" s="44" t="s">
        <v>43</v>
      </c>
      <c r="D250" s="44" t="s">
        <v>326</v>
      </c>
      <c r="E250" s="44">
        <v>24488</v>
      </c>
      <c r="F250" s="44"/>
      <c r="G250" s="44">
        <v>4898</v>
      </c>
      <c r="O250" s="41">
        <f t="shared" si="15"/>
        <v>83328</v>
      </c>
      <c r="U250" s="41">
        <v>2008</v>
      </c>
      <c r="V250" s="41" t="s">
        <v>317</v>
      </c>
      <c r="W250" s="41" t="s">
        <v>43</v>
      </c>
      <c r="X250" s="41" t="s">
        <v>118</v>
      </c>
      <c r="Y250" s="41">
        <v>287296</v>
      </c>
    </row>
    <row r="251" spans="1:26" x14ac:dyDescent="0.2">
      <c r="A251" s="43">
        <v>2008</v>
      </c>
      <c r="B251" s="43" t="s">
        <v>317</v>
      </c>
      <c r="C251" s="43" t="s">
        <v>43</v>
      </c>
      <c r="D251" s="43" t="s">
        <v>327</v>
      </c>
      <c r="E251" s="43">
        <v>23683</v>
      </c>
      <c r="F251" s="43"/>
      <c r="G251" s="43">
        <v>4737</v>
      </c>
      <c r="O251" s="41">
        <f t="shared" si="15"/>
        <v>71035</v>
      </c>
      <c r="R251" s="41" t="s">
        <v>211</v>
      </c>
      <c r="U251" s="41">
        <v>2008</v>
      </c>
      <c r="V251" s="41" t="s">
        <v>317</v>
      </c>
      <c r="W251" s="41" t="s">
        <v>43</v>
      </c>
      <c r="X251" s="41" t="s">
        <v>119</v>
      </c>
      <c r="Y251" s="41">
        <v>236339</v>
      </c>
    </row>
    <row r="252" spans="1:26" x14ac:dyDescent="0.2">
      <c r="A252" s="44">
        <v>2008</v>
      </c>
      <c r="B252" s="44" t="s">
        <v>317</v>
      </c>
      <c r="C252" s="44" t="s">
        <v>43</v>
      </c>
      <c r="D252" s="44" t="s">
        <v>328</v>
      </c>
      <c r="E252" s="44">
        <v>12838</v>
      </c>
      <c r="F252" s="44"/>
      <c r="G252" s="44">
        <v>2568</v>
      </c>
      <c r="O252" s="41">
        <f t="shared" si="15"/>
        <v>54621</v>
      </c>
      <c r="U252" s="41">
        <v>2008</v>
      </c>
      <c r="V252" s="41" t="s">
        <v>317</v>
      </c>
      <c r="W252" s="41" t="s">
        <v>43</v>
      </c>
      <c r="X252" s="41" t="s">
        <v>120</v>
      </c>
      <c r="Y252" s="41">
        <v>174234</v>
      </c>
    </row>
    <row r="253" spans="1:26" x14ac:dyDescent="0.2">
      <c r="A253" s="43">
        <v>2008</v>
      </c>
      <c r="B253" s="43" t="s">
        <v>317</v>
      </c>
      <c r="C253" s="43" t="s">
        <v>43</v>
      </c>
      <c r="D253" s="43" t="s">
        <v>329</v>
      </c>
      <c r="E253" s="43">
        <v>8663</v>
      </c>
      <c r="F253" s="43"/>
      <c r="G253" s="43">
        <v>1733</v>
      </c>
      <c r="O253" s="41">
        <f t="shared" si="15"/>
        <v>57459</v>
      </c>
      <c r="U253" s="41">
        <v>2008</v>
      </c>
      <c r="V253" s="41" t="s">
        <v>317</v>
      </c>
      <c r="W253" s="41" t="s">
        <v>43</v>
      </c>
      <c r="X253" s="41" t="s">
        <v>121</v>
      </c>
      <c r="Y253" s="41">
        <v>125888</v>
      </c>
    </row>
    <row r="254" spans="1:26" x14ac:dyDescent="0.2">
      <c r="A254" s="44">
        <v>2008</v>
      </c>
      <c r="B254" s="44" t="s">
        <v>317</v>
      </c>
      <c r="C254" s="44" t="s">
        <v>43</v>
      </c>
      <c r="D254" s="44" t="s">
        <v>330</v>
      </c>
      <c r="E254" s="44">
        <v>3659</v>
      </c>
      <c r="F254" s="44"/>
      <c r="G254" s="44">
        <v>732</v>
      </c>
      <c r="O254" s="41">
        <f t="shared" si="15"/>
        <v>47268</v>
      </c>
      <c r="U254" s="41">
        <v>2008</v>
      </c>
      <c r="V254" s="41" t="s">
        <v>317</v>
      </c>
      <c r="W254" s="41" t="s">
        <v>43</v>
      </c>
      <c r="X254" s="41" t="s">
        <v>122</v>
      </c>
      <c r="Y254" s="41">
        <v>93852</v>
      </c>
    </row>
    <row r="255" spans="1:26" x14ac:dyDescent="0.2">
      <c r="A255" s="44">
        <v>2008</v>
      </c>
      <c r="B255" s="44" t="s">
        <v>325</v>
      </c>
      <c r="C255" s="44" t="s">
        <v>44</v>
      </c>
      <c r="D255" s="44" t="s">
        <v>197</v>
      </c>
      <c r="E255" s="44">
        <v>523924</v>
      </c>
      <c r="F255" s="44"/>
      <c r="G255" s="44">
        <v>104785</v>
      </c>
      <c r="O255" s="41">
        <f t="shared" si="15"/>
        <v>34847</v>
      </c>
      <c r="U255" s="41">
        <v>2008</v>
      </c>
      <c r="V255" s="41" t="s">
        <v>317</v>
      </c>
      <c r="W255" s="41" t="s">
        <v>43</v>
      </c>
      <c r="X255" s="41" t="s">
        <v>123</v>
      </c>
      <c r="Y255" s="41">
        <v>72666</v>
      </c>
    </row>
    <row r="256" spans="1:26" x14ac:dyDescent="0.2">
      <c r="A256" s="43">
        <v>2008</v>
      </c>
      <c r="B256" s="43" t="s">
        <v>325</v>
      </c>
      <c r="C256" s="43" t="s">
        <v>44</v>
      </c>
      <c r="D256" s="43" t="s">
        <v>125</v>
      </c>
      <c r="E256" s="43">
        <v>435350</v>
      </c>
      <c r="F256" s="43"/>
      <c r="G256" s="43">
        <v>87070</v>
      </c>
      <c r="O256" s="41">
        <f t="shared" si="15"/>
        <v>25178</v>
      </c>
      <c r="U256" s="41">
        <v>2008</v>
      </c>
      <c r="V256" s="41" t="s">
        <v>317</v>
      </c>
      <c r="W256" s="41" t="s">
        <v>43</v>
      </c>
      <c r="X256" s="41" t="s">
        <v>124</v>
      </c>
      <c r="Y256" s="41">
        <v>58498</v>
      </c>
    </row>
    <row r="257" spans="1:26" x14ac:dyDescent="0.2">
      <c r="A257" s="44">
        <v>2008</v>
      </c>
      <c r="B257" s="44" t="s">
        <v>325</v>
      </c>
      <c r="C257" s="44" t="s">
        <v>44</v>
      </c>
      <c r="D257" s="44" t="s">
        <v>126</v>
      </c>
      <c r="E257" s="44">
        <v>366152</v>
      </c>
      <c r="F257" s="44"/>
      <c r="G257" s="44">
        <v>73230</v>
      </c>
      <c r="O257" s="41">
        <f t="shared" si="15"/>
        <v>18770</v>
      </c>
      <c r="U257" s="41">
        <v>2008</v>
      </c>
      <c r="V257" s="41" t="s">
        <v>317</v>
      </c>
      <c r="W257" s="41" t="s">
        <v>43</v>
      </c>
      <c r="X257" s="41" t="s">
        <v>127</v>
      </c>
      <c r="Y257" s="41">
        <v>53368</v>
      </c>
    </row>
    <row r="258" spans="1:26" x14ac:dyDescent="0.2">
      <c r="A258" s="43">
        <v>2008</v>
      </c>
      <c r="B258" s="43" t="s">
        <v>325</v>
      </c>
      <c r="C258" s="43" t="s">
        <v>44</v>
      </c>
      <c r="D258" s="43" t="s">
        <v>117</v>
      </c>
      <c r="E258" s="43">
        <v>272710</v>
      </c>
      <c r="F258" s="43"/>
      <c r="G258" s="43">
        <v>54542</v>
      </c>
      <c r="O258" s="41">
        <f t="shared" si="15"/>
        <v>14533</v>
      </c>
      <c r="U258" s="41">
        <v>2008</v>
      </c>
      <c r="V258" s="41" t="s">
        <v>317</v>
      </c>
      <c r="W258" s="41" t="s">
        <v>43</v>
      </c>
      <c r="X258" s="41" t="s">
        <v>215</v>
      </c>
      <c r="Y258" s="41">
        <v>39400</v>
      </c>
    </row>
    <row r="259" spans="1:26" x14ac:dyDescent="0.2">
      <c r="A259" s="44">
        <v>2008</v>
      </c>
      <c r="B259" s="44" t="s">
        <v>325</v>
      </c>
      <c r="C259" s="44" t="s">
        <v>44</v>
      </c>
      <c r="D259" s="44" t="s">
        <v>118</v>
      </c>
      <c r="E259" s="44">
        <v>238657</v>
      </c>
      <c r="F259" s="44"/>
      <c r="G259" s="44">
        <v>47731</v>
      </c>
      <c r="O259" s="41">
        <f t="shared" si="15"/>
        <v>11700</v>
      </c>
      <c r="U259" s="41">
        <v>2008</v>
      </c>
      <c r="V259" s="41" t="s">
        <v>317</v>
      </c>
      <c r="W259" s="41" t="s">
        <v>43</v>
      </c>
      <c r="X259" s="41" t="s">
        <v>216</v>
      </c>
      <c r="Y259" s="41">
        <v>33880</v>
      </c>
    </row>
    <row r="260" spans="1:26" x14ac:dyDescent="0.2">
      <c r="A260" s="43">
        <v>2008</v>
      </c>
      <c r="B260" s="43" t="s">
        <v>325</v>
      </c>
      <c r="C260" s="43" t="s">
        <v>44</v>
      </c>
      <c r="D260" s="43" t="s">
        <v>119</v>
      </c>
      <c r="E260" s="43">
        <v>236710</v>
      </c>
      <c r="F260" s="43"/>
      <c r="G260" s="43">
        <v>47342</v>
      </c>
      <c r="O260" s="41">
        <f t="shared" si="15"/>
        <v>10674</v>
      </c>
      <c r="U260" s="41">
        <v>2008</v>
      </c>
      <c r="V260" s="41" t="s">
        <v>317</v>
      </c>
      <c r="W260" s="41" t="s">
        <v>43</v>
      </c>
      <c r="X260" s="41" t="s">
        <v>326</v>
      </c>
      <c r="Y260" s="41">
        <v>24488</v>
      </c>
    </row>
    <row r="261" spans="1:26" x14ac:dyDescent="0.2">
      <c r="A261" s="44">
        <v>2008</v>
      </c>
      <c r="B261" s="44" t="s">
        <v>325</v>
      </c>
      <c r="C261" s="44" t="s">
        <v>44</v>
      </c>
      <c r="D261" s="44" t="s">
        <v>120</v>
      </c>
      <c r="E261" s="44">
        <v>185253</v>
      </c>
      <c r="F261" s="44"/>
      <c r="G261" s="44">
        <v>37051</v>
      </c>
      <c r="O261" s="41">
        <f t="shared" si="15"/>
        <v>7880</v>
      </c>
      <c r="U261" s="41">
        <v>2008</v>
      </c>
      <c r="V261" s="41" t="s">
        <v>317</v>
      </c>
      <c r="W261" s="41" t="s">
        <v>43</v>
      </c>
      <c r="X261" s="41" t="s">
        <v>327</v>
      </c>
      <c r="Y261" s="41">
        <v>23683</v>
      </c>
    </row>
    <row r="262" spans="1:26" x14ac:dyDescent="0.2">
      <c r="A262" s="43">
        <v>2008</v>
      </c>
      <c r="B262" s="43" t="s">
        <v>325</v>
      </c>
      <c r="C262" s="43" t="s">
        <v>44</v>
      </c>
      <c r="D262" s="43" t="s">
        <v>121</v>
      </c>
      <c r="E262" s="43">
        <v>144434</v>
      </c>
      <c r="F262" s="43"/>
      <c r="G262" s="43">
        <v>28887</v>
      </c>
      <c r="O262" s="41">
        <f t="shared" si="15"/>
        <v>6776</v>
      </c>
      <c r="U262" s="41">
        <v>2008</v>
      </c>
      <c r="V262" s="41" t="s">
        <v>317</v>
      </c>
      <c r="W262" s="41" t="s">
        <v>43</v>
      </c>
      <c r="X262" s="41" t="s">
        <v>328</v>
      </c>
      <c r="Y262" s="41">
        <v>12838</v>
      </c>
    </row>
    <row r="263" spans="1:26" x14ac:dyDescent="0.2">
      <c r="A263" s="44">
        <v>2008</v>
      </c>
      <c r="B263" s="44" t="s">
        <v>325</v>
      </c>
      <c r="C263" s="44" t="s">
        <v>44</v>
      </c>
      <c r="D263" s="44" t="s">
        <v>122</v>
      </c>
      <c r="E263" s="44">
        <v>93595</v>
      </c>
      <c r="F263" s="44"/>
      <c r="G263" s="44">
        <v>18719</v>
      </c>
      <c r="O263" s="41">
        <f t="shared" si="15"/>
        <v>4898</v>
      </c>
      <c r="U263" s="41">
        <v>2008</v>
      </c>
      <c r="V263" s="41" t="s">
        <v>317</v>
      </c>
      <c r="W263" s="41" t="s">
        <v>43</v>
      </c>
      <c r="X263" s="41" t="s">
        <v>329</v>
      </c>
      <c r="Y263" s="41">
        <v>8663</v>
      </c>
    </row>
    <row r="264" spans="1:26" x14ac:dyDescent="0.2">
      <c r="A264" s="43">
        <v>2008</v>
      </c>
      <c r="B264" s="43" t="s">
        <v>325</v>
      </c>
      <c r="C264" s="43" t="s">
        <v>44</v>
      </c>
      <c r="D264" s="43" t="s">
        <v>123</v>
      </c>
      <c r="E264" s="43">
        <v>71168</v>
      </c>
      <c r="F264" s="43"/>
      <c r="G264" s="43">
        <v>14234</v>
      </c>
      <c r="O264" s="41">
        <f t="shared" si="15"/>
        <v>4737</v>
      </c>
      <c r="U264" s="41">
        <v>2008</v>
      </c>
      <c r="V264" s="41" t="s">
        <v>317</v>
      </c>
      <c r="W264" s="41" t="s">
        <v>43</v>
      </c>
      <c r="X264" s="41" t="s">
        <v>330</v>
      </c>
      <c r="Y264" s="41">
        <v>3659</v>
      </c>
    </row>
    <row r="265" spans="1:26" x14ac:dyDescent="0.2">
      <c r="A265" s="44">
        <v>2008</v>
      </c>
      <c r="B265" s="44" t="s">
        <v>325</v>
      </c>
      <c r="C265" s="44" t="s">
        <v>44</v>
      </c>
      <c r="D265" s="44" t="s">
        <v>124</v>
      </c>
      <c r="E265" s="44">
        <v>54583</v>
      </c>
      <c r="F265" s="44"/>
      <c r="G265" s="44">
        <v>10917</v>
      </c>
      <c r="O265" s="41">
        <f t="shared" si="15"/>
        <v>2568</v>
      </c>
      <c r="Y265" s="41" t="s">
        <v>323</v>
      </c>
      <c r="Z265" s="41" t="s">
        <v>324</v>
      </c>
    </row>
    <row r="266" spans="1:26" x14ac:dyDescent="0.2">
      <c r="A266" s="43">
        <v>2008</v>
      </c>
      <c r="B266" s="43" t="s">
        <v>325</v>
      </c>
      <c r="C266" s="43" t="s">
        <v>44</v>
      </c>
      <c r="D266" s="43" t="s">
        <v>127</v>
      </c>
      <c r="E266" s="43">
        <v>57397</v>
      </c>
      <c r="F266" s="43"/>
      <c r="G266" s="43">
        <v>11479</v>
      </c>
      <c r="O266" s="41">
        <f t="shared" si="15"/>
        <v>1733</v>
      </c>
      <c r="U266" s="41">
        <v>2008</v>
      </c>
      <c r="V266" s="41" t="s">
        <v>325</v>
      </c>
      <c r="W266" s="41" t="s">
        <v>44</v>
      </c>
      <c r="X266" s="41" t="s">
        <v>197</v>
      </c>
      <c r="Y266" s="41">
        <v>523924</v>
      </c>
      <c r="Z266" s="41">
        <v>542305</v>
      </c>
    </row>
    <row r="267" spans="1:26" x14ac:dyDescent="0.2">
      <c r="A267" s="44">
        <v>2008</v>
      </c>
      <c r="B267" s="44" t="s">
        <v>325</v>
      </c>
      <c r="C267" s="44" t="s">
        <v>44</v>
      </c>
      <c r="D267" s="44" t="s">
        <v>215</v>
      </c>
      <c r="E267" s="44">
        <v>39764</v>
      </c>
      <c r="F267" s="44"/>
      <c r="G267" s="44">
        <v>7953</v>
      </c>
      <c r="O267" s="41">
        <f t="shared" si="15"/>
        <v>732</v>
      </c>
      <c r="U267" s="41">
        <v>2008</v>
      </c>
      <c r="V267" s="41" t="s">
        <v>325</v>
      </c>
      <c r="W267" s="41" t="s">
        <v>44</v>
      </c>
      <c r="X267" s="41" t="s">
        <v>125</v>
      </c>
      <c r="Y267" s="41">
        <v>435350</v>
      </c>
      <c r="Z267" s="41">
        <v>448053</v>
      </c>
    </row>
    <row r="268" spans="1:26" x14ac:dyDescent="0.2">
      <c r="A268" s="43">
        <v>2008</v>
      </c>
      <c r="B268" s="43" t="s">
        <v>325</v>
      </c>
      <c r="C268" s="43" t="s">
        <v>44</v>
      </c>
      <c r="D268" s="43" t="s">
        <v>216</v>
      </c>
      <c r="E268" s="43">
        <v>31808</v>
      </c>
      <c r="F268" s="43"/>
      <c r="G268" s="43">
        <v>6362</v>
      </c>
      <c r="O268" s="41" t="e">
        <f>ROUND(0.2*#REF!,0)</f>
        <v>#REF!</v>
      </c>
      <c r="U268" s="41">
        <v>2008</v>
      </c>
      <c r="V268" s="41" t="s">
        <v>325</v>
      </c>
      <c r="W268" s="41" t="s">
        <v>44</v>
      </c>
      <c r="X268" s="41" t="s">
        <v>126</v>
      </c>
      <c r="Y268" s="41">
        <v>366152</v>
      </c>
      <c r="Z268" s="41">
        <v>376090</v>
      </c>
    </row>
    <row r="269" spans="1:26" x14ac:dyDescent="0.2">
      <c r="A269" s="44">
        <v>2008</v>
      </c>
      <c r="B269" s="44" t="s">
        <v>325</v>
      </c>
      <c r="C269" s="44" t="s">
        <v>44</v>
      </c>
      <c r="D269" s="44" t="s">
        <v>326</v>
      </c>
      <c r="E269" s="44">
        <v>21143</v>
      </c>
      <c r="F269" s="44"/>
      <c r="G269" s="44">
        <v>4229</v>
      </c>
      <c r="O269" s="41">
        <f t="shared" ref="O269:O287" si="16">ROUND(0.2*E255,0)</f>
        <v>104785</v>
      </c>
      <c r="U269" s="41">
        <v>2008</v>
      </c>
      <c r="V269" s="41" t="s">
        <v>325</v>
      </c>
      <c r="W269" s="41" t="s">
        <v>44</v>
      </c>
      <c r="X269" s="41" t="s">
        <v>117</v>
      </c>
      <c r="Y269" s="41">
        <v>272710</v>
      </c>
      <c r="Z269" s="41">
        <v>287301</v>
      </c>
    </row>
    <row r="270" spans="1:26" x14ac:dyDescent="0.2">
      <c r="A270" s="43">
        <v>2008</v>
      </c>
      <c r="B270" s="43" t="s">
        <v>325</v>
      </c>
      <c r="C270" s="43" t="s">
        <v>44</v>
      </c>
      <c r="D270" s="43" t="s">
        <v>327</v>
      </c>
      <c r="E270" s="43">
        <v>21362</v>
      </c>
      <c r="F270" s="43"/>
      <c r="G270" s="43">
        <v>4272</v>
      </c>
      <c r="O270" s="41">
        <f t="shared" si="16"/>
        <v>87070</v>
      </c>
      <c r="U270" s="41">
        <v>2008</v>
      </c>
      <c r="V270" s="41" t="s">
        <v>325</v>
      </c>
      <c r="W270" s="41" t="s">
        <v>44</v>
      </c>
      <c r="X270" s="41" t="s">
        <v>118</v>
      </c>
      <c r="Y270" s="41">
        <v>238657</v>
      </c>
      <c r="Z270" s="41">
        <v>310982</v>
      </c>
    </row>
    <row r="271" spans="1:26" x14ac:dyDescent="0.2">
      <c r="A271" s="44">
        <v>2008</v>
      </c>
      <c r="B271" s="44" t="s">
        <v>325</v>
      </c>
      <c r="C271" s="44" t="s">
        <v>44</v>
      </c>
      <c r="D271" s="44" t="s">
        <v>328</v>
      </c>
      <c r="E271" s="44">
        <v>10560</v>
      </c>
      <c r="F271" s="44"/>
      <c r="G271" s="44">
        <v>2112</v>
      </c>
      <c r="O271" s="41">
        <f t="shared" si="16"/>
        <v>73230</v>
      </c>
      <c r="U271" s="41">
        <v>2008</v>
      </c>
      <c r="V271" s="41" t="s">
        <v>325</v>
      </c>
      <c r="W271" s="41" t="s">
        <v>44</v>
      </c>
      <c r="X271" s="41" t="s">
        <v>119</v>
      </c>
      <c r="Y271" s="41">
        <v>236710</v>
      </c>
      <c r="Z271" s="41">
        <v>266305</v>
      </c>
    </row>
    <row r="272" spans="1:26" x14ac:dyDescent="0.2">
      <c r="A272" s="43">
        <v>2008</v>
      </c>
      <c r="B272" s="43" t="s">
        <v>325</v>
      </c>
      <c r="C272" s="43" t="s">
        <v>44</v>
      </c>
      <c r="D272" s="43" t="s">
        <v>329</v>
      </c>
      <c r="E272" s="43">
        <v>8720</v>
      </c>
      <c r="F272" s="43"/>
      <c r="G272" s="43">
        <v>1744</v>
      </c>
      <c r="O272" s="41">
        <f t="shared" si="16"/>
        <v>54542</v>
      </c>
      <c r="U272" s="41">
        <v>2008</v>
      </c>
      <c r="V272" s="41" t="s">
        <v>325</v>
      </c>
      <c r="W272" s="41" t="s">
        <v>44</v>
      </c>
      <c r="X272" s="41" t="s">
        <v>120</v>
      </c>
      <c r="Y272" s="41">
        <v>185253</v>
      </c>
      <c r="Z272" s="41">
        <v>183210</v>
      </c>
    </row>
    <row r="273" spans="1:26" x14ac:dyDescent="0.2">
      <c r="A273" s="44">
        <v>2008</v>
      </c>
      <c r="B273" s="44" t="s">
        <v>325</v>
      </c>
      <c r="C273" s="44" t="s">
        <v>44</v>
      </c>
      <c r="D273" s="44" t="s">
        <v>330</v>
      </c>
      <c r="E273" s="44">
        <v>4034</v>
      </c>
      <c r="F273" s="44"/>
      <c r="G273" s="44">
        <v>807</v>
      </c>
      <c r="O273" s="41">
        <f t="shared" si="16"/>
        <v>47731</v>
      </c>
      <c r="U273" s="41">
        <v>2008</v>
      </c>
      <c r="V273" s="41" t="s">
        <v>325</v>
      </c>
      <c r="W273" s="41" t="s">
        <v>44</v>
      </c>
      <c r="X273" s="41" t="s">
        <v>121</v>
      </c>
      <c r="Y273" s="41">
        <v>144434</v>
      </c>
      <c r="Z273" s="41">
        <v>134965</v>
      </c>
    </row>
    <row r="274" spans="1:26" x14ac:dyDescent="0.2">
      <c r="A274" s="44">
        <v>2008</v>
      </c>
      <c r="B274" s="44" t="s">
        <v>325</v>
      </c>
      <c r="C274" s="44" t="s">
        <v>43</v>
      </c>
      <c r="D274" s="44" t="s">
        <v>197</v>
      </c>
      <c r="E274" s="44">
        <v>542305</v>
      </c>
      <c r="F274" s="44"/>
      <c r="G274" s="44">
        <v>108461</v>
      </c>
      <c r="O274" s="41">
        <f t="shared" si="16"/>
        <v>47342</v>
      </c>
      <c r="U274" s="41">
        <v>2008</v>
      </c>
      <c r="V274" s="41" t="s">
        <v>325</v>
      </c>
      <c r="W274" s="41" t="s">
        <v>44</v>
      </c>
      <c r="X274" s="41" t="s">
        <v>122</v>
      </c>
      <c r="Y274" s="41">
        <v>93595</v>
      </c>
      <c r="Z274" s="41">
        <v>96893</v>
      </c>
    </row>
    <row r="275" spans="1:26" x14ac:dyDescent="0.2">
      <c r="A275" s="43">
        <v>2008</v>
      </c>
      <c r="B275" s="43" t="s">
        <v>325</v>
      </c>
      <c r="C275" s="43" t="s">
        <v>43</v>
      </c>
      <c r="D275" s="43" t="s">
        <v>125</v>
      </c>
      <c r="E275" s="43">
        <v>448053</v>
      </c>
      <c r="F275" s="43"/>
      <c r="G275" s="43">
        <v>89611</v>
      </c>
      <c r="O275" s="41">
        <f t="shared" si="16"/>
        <v>37051</v>
      </c>
      <c r="U275" s="41">
        <v>2008</v>
      </c>
      <c r="V275" s="41" t="s">
        <v>325</v>
      </c>
      <c r="W275" s="41" t="s">
        <v>44</v>
      </c>
      <c r="X275" s="41" t="s">
        <v>123</v>
      </c>
      <c r="Y275" s="41">
        <v>71168</v>
      </c>
      <c r="Z275" s="41">
        <v>78376</v>
      </c>
    </row>
    <row r="276" spans="1:26" x14ac:dyDescent="0.2">
      <c r="A276" s="44">
        <v>2008</v>
      </c>
      <c r="B276" s="44" t="s">
        <v>325</v>
      </c>
      <c r="C276" s="44" t="s">
        <v>43</v>
      </c>
      <c r="D276" s="44" t="s">
        <v>126</v>
      </c>
      <c r="E276" s="44">
        <v>376090</v>
      </c>
      <c r="F276" s="44"/>
      <c r="G276" s="44">
        <v>75218</v>
      </c>
      <c r="O276" s="41">
        <f t="shared" si="16"/>
        <v>28887</v>
      </c>
      <c r="U276" s="41">
        <v>2008</v>
      </c>
      <c r="V276" s="41" t="s">
        <v>325</v>
      </c>
      <c r="W276" s="41" t="s">
        <v>44</v>
      </c>
      <c r="X276" s="41" t="s">
        <v>124</v>
      </c>
      <c r="Y276" s="41">
        <v>54583</v>
      </c>
      <c r="Z276" s="41">
        <v>64498</v>
      </c>
    </row>
    <row r="277" spans="1:26" x14ac:dyDescent="0.2">
      <c r="A277" s="43">
        <v>2008</v>
      </c>
      <c r="B277" s="43" t="s">
        <v>325</v>
      </c>
      <c r="C277" s="43" t="s">
        <v>43</v>
      </c>
      <c r="D277" s="43" t="s">
        <v>117</v>
      </c>
      <c r="E277" s="43">
        <v>287301</v>
      </c>
      <c r="F277" s="43"/>
      <c r="G277" s="43">
        <v>57460</v>
      </c>
      <c r="O277" s="41">
        <f t="shared" si="16"/>
        <v>18719</v>
      </c>
      <c r="U277" s="41">
        <v>2008</v>
      </c>
      <c r="V277" s="41" t="s">
        <v>325</v>
      </c>
      <c r="W277" s="41" t="s">
        <v>44</v>
      </c>
      <c r="X277" s="41" t="s">
        <v>127</v>
      </c>
      <c r="Y277" s="41">
        <v>57397</v>
      </c>
      <c r="Z277" s="41">
        <v>65611</v>
      </c>
    </row>
    <row r="278" spans="1:26" x14ac:dyDescent="0.2">
      <c r="A278" s="44">
        <v>2008</v>
      </c>
      <c r="B278" s="44" t="s">
        <v>325</v>
      </c>
      <c r="C278" s="44" t="s">
        <v>43</v>
      </c>
      <c r="D278" s="44" t="s">
        <v>118</v>
      </c>
      <c r="E278" s="44">
        <v>310982</v>
      </c>
      <c r="F278" s="44"/>
      <c r="G278" s="44">
        <v>62196</v>
      </c>
      <c r="O278" s="41">
        <f t="shared" si="16"/>
        <v>14234</v>
      </c>
      <c r="U278" s="41">
        <v>2008</v>
      </c>
      <c r="V278" s="41" t="s">
        <v>325</v>
      </c>
      <c r="W278" s="41" t="s">
        <v>44</v>
      </c>
      <c r="X278" s="41" t="s">
        <v>215</v>
      </c>
      <c r="Y278" s="41">
        <v>39764</v>
      </c>
      <c r="Z278" s="41">
        <v>44489</v>
      </c>
    </row>
    <row r="279" spans="1:26" x14ac:dyDescent="0.2">
      <c r="A279" s="43">
        <v>2008</v>
      </c>
      <c r="B279" s="43" t="s">
        <v>325</v>
      </c>
      <c r="C279" s="43" t="s">
        <v>43</v>
      </c>
      <c r="D279" s="43" t="s">
        <v>119</v>
      </c>
      <c r="E279" s="43">
        <v>266305</v>
      </c>
      <c r="F279" s="43"/>
      <c r="G279" s="43">
        <v>53261</v>
      </c>
      <c r="O279" s="41">
        <f t="shared" si="16"/>
        <v>10917</v>
      </c>
      <c r="U279" s="41">
        <v>2008</v>
      </c>
      <c r="V279" s="41" t="s">
        <v>325</v>
      </c>
      <c r="W279" s="41" t="s">
        <v>44</v>
      </c>
      <c r="X279" s="41" t="s">
        <v>216</v>
      </c>
      <c r="Y279" s="41">
        <v>31808</v>
      </c>
      <c r="Z279" s="41">
        <v>36079</v>
      </c>
    </row>
    <row r="280" spans="1:26" x14ac:dyDescent="0.2">
      <c r="A280" s="44">
        <v>2008</v>
      </c>
      <c r="B280" s="44" t="s">
        <v>325</v>
      </c>
      <c r="C280" s="44" t="s">
        <v>43</v>
      </c>
      <c r="D280" s="44" t="s">
        <v>120</v>
      </c>
      <c r="E280" s="44">
        <v>183210</v>
      </c>
      <c r="F280" s="44"/>
      <c r="G280" s="44">
        <v>36642</v>
      </c>
      <c r="O280" s="41">
        <f t="shared" si="16"/>
        <v>11479</v>
      </c>
      <c r="U280" s="41">
        <v>2008</v>
      </c>
      <c r="V280" s="41" t="s">
        <v>325</v>
      </c>
      <c r="W280" s="41" t="s">
        <v>44</v>
      </c>
      <c r="X280" s="41" t="s">
        <v>326</v>
      </c>
      <c r="Y280" s="41">
        <v>21143</v>
      </c>
      <c r="Z280" s="41">
        <v>26307</v>
      </c>
    </row>
    <row r="281" spans="1:26" x14ac:dyDescent="0.2">
      <c r="A281" s="43">
        <v>2008</v>
      </c>
      <c r="B281" s="43" t="s">
        <v>325</v>
      </c>
      <c r="C281" s="43" t="s">
        <v>43</v>
      </c>
      <c r="D281" s="43" t="s">
        <v>121</v>
      </c>
      <c r="E281" s="43">
        <v>134965</v>
      </c>
      <c r="F281" s="43"/>
      <c r="G281" s="43">
        <v>26993</v>
      </c>
      <c r="O281" s="41">
        <f t="shared" si="16"/>
        <v>7953</v>
      </c>
      <c r="U281" s="41">
        <v>2008</v>
      </c>
      <c r="V281" s="41" t="s">
        <v>325</v>
      </c>
      <c r="W281" s="41" t="s">
        <v>44</v>
      </c>
      <c r="X281" s="41" t="s">
        <v>327</v>
      </c>
      <c r="Y281" s="41">
        <v>21362</v>
      </c>
      <c r="Z281" s="41">
        <v>29627</v>
      </c>
    </row>
    <row r="282" spans="1:26" x14ac:dyDescent="0.2">
      <c r="A282" s="44">
        <v>2008</v>
      </c>
      <c r="B282" s="44" t="s">
        <v>325</v>
      </c>
      <c r="C282" s="44" t="s">
        <v>43</v>
      </c>
      <c r="D282" s="44" t="s">
        <v>122</v>
      </c>
      <c r="E282" s="44">
        <v>96893</v>
      </c>
      <c r="F282" s="44"/>
      <c r="G282" s="44">
        <v>19379</v>
      </c>
      <c r="O282" s="41">
        <f t="shared" si="16"/>
        <v>6362</v>
      </c>
      <c r="U282" s="41">
        <v>2008</v>
      </c>
      <c r="V282" s="41" t="s">
        <v>325</v>
      </c>
      <c r="W282" s="41" t="s">
        <v>44</v>
      </c>
      <c r="X282" s="41" t="s">
        <v>328</v>
      </c>
      <c r="Y282" s="41">
        <v>10560</v>
      </c>
      <c r="Z282" s="41">
        <v>17390</v>
      </c>
    </row>
    <row r="283" spans="1:26" x14ac:dyDescent="0.2">
      <c r="A283" s="43">
        <v>2008</v>
      </c>
      <c r="B283" s="43" t="s">
        <v>325</v>
      </c>
      <c r="C283" s="43" t="s">
        <v>43</v>
      </c>
      <c r="D283" s="43" t="s">
        <v>123</v>
      </c>
      <c r="E283" s="43">
        <v>78376</v>
      </c>
      <c r="F283" s="43"/>
      <c r="G283" s="43">
        <v>15675</v>
      </c>
      <c r="O283" s="41">
        <f t="shared" si="16"/>
        <v>4229</v>
      </c>
      <c r="U283" s="41">
        <v>2008</v>
      </c>
      <c r="V283" s="41" t="s">
        <v>325</v>
      </c>
      <c r="W283" s="41" t="s">
        <v>44</v>
      </c>
      <c r="X283" s="41" t="s">
        <v>329</v>
      </c>
      <c r="Y283" s="41">
        <v>8720</v>
      </c>
      <c r="Z283" s="41">
        <v>13211</v>
      </c>
    </row>
    <row r="284" spans="1:26" x14ac:dyDescent="0.2">
      <c r="A284" s="44">
        <v>2008</v>
      </c>
      <c r="B284" s="44" t="s">
        <v>325</v>
      </c>
      <c r="C284" s="44" t="s">
        <v>43</v>
      </c>
      <c r="D284" s="44" t="s">
        <v>124</v>
      </c>
      <c r="E284" s="44">
        <v>64498</v>
      </c>
      <c r="F284" s="44"/>
      <c r="G284" s="44">
        <v>12900</v>
      </c>
      <c r="O284" s="41">
        <f t="shared" si="16"/>
        <v>4272</v>
      </c>
      <c r="U284" s="41">
        <v>2008</v>
      </c>
      <c r="V284" s="41" t="s">
        <v>325</v>
      </c>
      <c r="W284" s="41" t="s">
        <v>44</v>
      </c>
      <c r="X284" s="41" t="s">
        <v>330</v>
      </c>
      <c r="Y284" s="41">
        <v>4034</v>
      </c>
      <c r="Z284" s="41">
        <v>7907</v>
      </c>
    </row>
    <row r="285" spans="1:26" x14ac:dyDescent="0.2">
      <c r="A285" s="43">
        <v>2008</v>
      </c>
      <c r="B285" s="43" t="s">
        <v>325</v>
      </c>
      <c r="C285" s="43" t="s">
        <v>43</v>
      </c>
      <c r="D285" s="43" t="s">
        <v>127</v>
      </c>
      <c r="E285" s="43">
        <v>65611</v>
      </c>
      <c r="F285" s="43"/>
      <c r="G285" s="43">
        <v>13122</v>
      </c>
      <c r="O285" s="41">
        <f t="shared" si="16"/>
        <v>2112</v>
      </c>
      <c r="S285" s="41" t="s">
        <v>211</v>
      </c>
    </row>
    <row r="286" spans="1:26" x14ac:dyDescent="0.2">
      <c r="A286" s="44">
        <v>2008</v>
      </c>
      <c r="B286" s="44" t="s">
        <v>325</v>
      </c>
      <c r="C286" s="44" t="s">
        <v>43</v>
      </c>
      <c r="D286" s="44" t="s">
        <v>215</v>
      </c>
      <c r="E286" s="44">
        <v>44489</v>
      </c>
      <c r="F286" s="44"/>
      <c r="G286" s="44">
        <v>8898</v>
      </c>
      <c r="O286" s="41">
        <f t="shared" si="16"/>
        <v>1744</v>
      </c>
      <c r="U286" s="41">
        <v>2008</v>
      </c>
      <c r="V286" s="41" t="s">
        <v>325</v>
      </c>
      <c r="W286" s="41" t="s">
        <v>43</v>
      </c>
      <c r="X286" s="41" t="s">
        <v>197</v>
      </c>
      <c r="Y286" s="41">
        <v>542305</v>
      </c>
    </row>
    <row r="287" spans="1:26" x14ac:dyDescent="0.2">
      <c r="A287" s="43">
        <v>2008</v>
      </c>
      <c r="B287" s="43" t="s">
        <v>325</v>
      </c>
      <c r="C287" s="43" t="s">
        <v>43</v>
      </c>
      <c r="D287" s="43" t="s">
        <v>216</v>
      </c>
      <c r="E287" s="43">
        <v>36079</v>
      </c>
      <c r="F287" s="43"/>
      <c r="G287" s="43">
        <v>7216</v>
      </c>
      <c r="O287" s="41">
        <f t="shared" si="16"/>
        <v>807</v>
      </c>
      <c r="U287" s="41">
        <v>2008</v>
      </c>
      <c r="V287" s="41" t="s">
        <v>325</v>
      </c>
      <c r="W287" s="41" t="s">
        <v>43</v>
      </c>
      <c r="X287" s="41" t="s">
        <v>125</v>
      </c>
      <c r="Y287" s="41">
        <v>448053</v>
      </c>
    </row>
    <row r="288" spans="1:26" x14ac:dyDescent="0.2">
      <c r="A288" s="44">
        <v>2008</v>
      </c>
      <c r="B288" s="44" t="s">
        <v>325</v>
      </c>
      <c r="C288" s="44" t="s">
        <v>43</v>
      </c>
      <c r="D288" s="44" t="s">
        <v>326</v>
      </c>
      <c r="E288" s="44">
        <v>26307</v>
      </c>
      <c r="F288" s="44"/>
      <c r="G288" s="44">
        <v>5261</v>
      </c>
      <c r="O288" s="41" t="e">
        <f>ROUND(0.2*#REF!,0)</f>
        <v>#REF!</v>
      </c>
      <c r="U288" s="41">
        <v>2008</v>
      </c>
      <c r="V288" s="41" t="s">
        <v>325</v>
      </c>
      <c r="W288" s="41" t="s">
        <v>43</v>
      </c>
      <c r="X288" s="41" t="s">
        <v>126</v>
      </c>
      <c r="Y288" s="41">
        <v>376090</v>
      </c>
    </row>
    <row r="289" spans="1:25" x14ac:dyDescent="0.2">
      <c r="A289" s="43">
        <v>2008</v>
      </c>
      <c r="B289" s="43" t="s">
        <v>325</v>
      </c>
      <c r="C289" s="43" t="s">
        <v>43</v>
      </c>
      <c r="D289" s="43" t="s">
        <v>327</v>
      </c>
      <c r="E289" s="43">
        <v>29627</v>
      </c>
      <c r="F289" s="43"/>
      <c r="G289" s="43">
        <v>5925</v>
      </c>
      <c r="O289" s="41">
        <f t="shared" ref="O289:O307" si="17">ROUND(0.2*E274,0)</f>
        <v>108461</v>
      </c>
      <c r="U289" s="41">
        <v>2008</v>
      </c>
      <c r="V289" s="41" t="s">
        <v>325</v>
      </c>
      <c r="W289" s="41" t="s">
        <v>43</v>
      </c>
      <c r="X289" s="41" t="s">
        <v>117</v>
      </c>
      <c r="Y289" s="41">
        <v>287301</v>
      </c>
    </row>
    <row r="290" spans="1:25" x14ac:dyDescent="0.2">
      <c r="A290" s="44">
        <v>2008</v>
      </c>
      <c r="B290" s="44" t="s">
        <v>325</v>
      </c>
      <c r="C290" s="44" t="s">
        <v>43</v>
      </c>
      <c r="D290" s="44" t="s">
        <v>328</v>
      </c>
      <c r="E290" s="44">
        <v>17390</v>
      </c>
      <c r="F290" s="44"/>
      <c r="G290" s="44">
        <v>3478</v>
      </c>
      <c r="O290" s="41">
        <f t="shared" si="17"/>
        <v>89611</v>
      </c>
      <c r="U290" s="41">
        <v>2008</v>
      </c>
      <c r="V290" s="41" t="s">
        <v>325</v>
      </c>
      <c r="W290" s="41" t="s">
        <v>43</v>
      </c>
      <c r="X290" s="41" t="s">
        <v>118</v>
      </c>
      <c r="Y290" s="41">
        <v>310982</v>
      </c>
    </row>
    <row r="291" spans="1:25" x14ac:dyDescent="0.2">
      <c r="A291" s="43">
        <v>2008</v>
      </c>
      <c r="B291" s="43" t="s">
        <v>325</v>
      </c>
      <c r="C291" s="43" t="s">
        <v>43</v>
      </c>
      <c r="D291" s="43" t="s">
        <v>329</v>
      </c>
      <c r="E291" s="43">
        <v>13211</v>
      </c>
      <c r="F291" s="43"/>
      <c r="G291" s="43">
        <v>2642</v>
      </c>
      <c r="O291" s="41">
        <f t="shared" si="17"/>
        <v>75218</v>
      </c>
      <c r="U291" s="41">
        <v>2008</v>
      </c>
      <c r="V291" s="41" t="s">
        <v>325</v>
      </c>
      <c r="W291" s="41" t="s">
        <v>43</v>
      </c>
      <c r="X291" s="41" t="s">
        <v>119</v>
      </c>
      <c r="Y291" s="41">
        <v>266305</v>
      </c>
    </row>
    <row r="292" spans="1:25" x14ac:dyDescent="0.2">
      <c r="A292" s="44">
        <v>2008</v>
      </c>
      <c r="B292" s="44" t="s">
        <v>325</v>
      </c>
      <c r="C292" s="44" t="s">
        <v>43</v>
      </c>
      <c r="D292" s="44" t="s">
        <v>330</v>
      </c>
      <c r="E292" s="44">
        <v>7907</v>
      </c>
      <c r="F292" s="44"/>
      <c r="G292" s="44">
        <v>1581</v>
      </c>
      <c r="O292" s="41">
        <f t="shared" si="17"/>
        <v>57460</v>
      </c>
      <c r="U292" s="41">
        <v>2008</v>
      </c>
      <c r="V292" s="41" t="s">
        <v>325</v>
      </c>
      <c r="W292" s="41" t="s">
        <v>43</v>
      </c>
      <c r="X292" s="41" t="s">
        <v>120</v>
      </c>
      <c r="Y292" s="41">
        <v>183210</v>
      </c>
    </row>
    <row r="293" spans="1:25" x14ac:dyDescent="0.2">
      <c r="A293" s="43"/>
      <c r="B293" s="43"/>
      <c r="C293" s="43"/>
      <c r="D293" s="43"/>
      <c r="E293" s="43"/>
      <c r="F293" s="43"/>
      <c r="G293" s="43"/>
      <c r="O293" s="41">
        <f t="shared" si="17"/>
        <v>62196</v>
      </c>
      <c r="U293" s="41">
        <v>2008</v>
      </c>
      <c r="V293" s="41" t="s">
        <v>325</v>
      </c>
      <c r="W293" s="41" t="s">
        <v>43</v>
      </c>
      <c r="X293" s="41" t="s">
        <v>121</v>
      </c>
      <c r="Y293" s="41">
        <v>134965</v>
      </c>
    </row>
    <row r="294" spans="1:25" x14ac:dyDescent="0.2">
      <c r="A294" s="44"/>
      <c r="B294" s="44"/>
      <c r="C294" s="44"/>
      <c r="D294" s="44"/>
      <c r="E294" s="44"/>
      <c r="F294" s="44"/>
      <c r="G294" s="44"/>
      <c r="O294" s="41">
        <f t="shared" si="17"/>
        <v>53261</v>
      </c>
      <c r="U294" s="41">
        <v>2008</v>
      </c>
      <c r="V294" s="41" t="s">
        <v>325</v>
      </c>
      <c r="W294" s="41" t="s">
        <v>43</v>
      </c>
      <c r="X294" s="41" t="s">
        <v>122</v>
      </c>
      <c r="Y294" s="41">
        <v>96893</v>
      </c>
    </row>
    <row r="295" spans="1:25" x14ac:dyDescent="0.2">
      <c r="A295" s="43"/>
      <c r="B295" s="43"/>
      <c r="C295" s="43"/>
      <c r="D295" s="43"/>
      <c r="E295" s="43"/>
      <c r="F295" s="43"/>
      <c r="G295" s="43"/>
      <c r="O295" s="41">
        <f t="shared" si="17"/>
        <v>36642</v>
      </c>
      <c r="U295" s="41">
        <v>2008</v>
      </c>
      <c r="V295" s="41" t="s">
        <v>325</v>
      </c>
      <c r="W295" s="41" t="s">
        <v>43</v>
      </c>
      <c r="X295" s="41" t="s">
        <v>123</v>
      </c>
      <c r="Y295" s="41">
        <v>78376</v>
      </c>
    </row>
    <row r="296" spans="1:25" x14ac:dyDescent="0.2">
      <c r="A296" s="44"/>
      <c r="B296" s="44"/>
      <c r="C296" s="44"/>
      <c r="D296" s="44"/>
      <c r="E296" s="44"/>
      <c r="F296" s="44"/>
      <c r="G296" s="44"/>
      <c r="O296" s="41">
        <f t="shared" si="17"/>
        <v>26993</v>
      </c>
      <c r="U296" s="41">
        <v>2008</v>
      </c>
      <c r="V296" s="41" t="s">
        <v>325</v>
      </c>
      <c r="W296" s="41" t="s">
        <v>43</v>
      </c>
      <c r="X296" s="41" t="s">
        <v>124</v>
      </c>
      <c r="Y296" s="41">
        <v>64498</v>
      </c>
    </row>
    <row r="297" spans="1:25" x14ac:dyDescent="0.2">
      <c r="A297" s="43"/>
      <c r="B297" s="43"/>
      <c r="C297" s="43"/>
      <c r="D297" s="43"/>
      <c r="E297" s="43"/>
      <c r="F297" s="43"/>
      <c r="G297" s="43"/>
      <c r="O297" s="41">
        <f t="shared" si="17"/>
        <v>19379</v>
      </c>
      <c r="U297" s="41">
        <v>2008</v>
      </c>
      <c r="V297" s="41" t="s">
        <v>325</v>
      </c>
      <c r="W297" s="41" t="s">
        <v>43</v>
      </c>
      <c r="X297" s="41" t="s">
        <v>127</v>
      </c>
      <c r="Y297" s="41">
        <v>65611</v>
      </c>
    </row>
    <row r="298" spans="1:25" x14ac:dyDescent="0.2">
      <c r="A298" s="44"/>
      <c r="B298" s="44"/>
      <c r="C298" s="44"/>
      <c r="D298" s="44"/>
      <c r="E298" s="44"/>
      <c r="F298" s="44"/>
      <c r="G298" s="44"/>
      <c r="O298" s="41">
        <f t="shared" si="17"/>
        <v>15675</v>
      </c>
      <c r="U298" s="41">
        <v>2008</v>
      </c>
      <c r="V298" s="41" t="s">
        <v>325</v>
      </c>
      <c r="W298" s="41" t="s">
        <v>43</v>
      </c>
      <c r="X298" s="41" t="s">
        <v>215</v>
      </c>
      <c r="Y298" s="41">
        <v>44489</v>
      </c>
    </row>
    <row r="299" spans="1:25" x14ac:dyDescent="0.2">
      <c r="A299" s="43"/>
      <c r="B299" s="43"/>
      <c r="C299" s="43"/>
      <c r="D299" s="43"/>
      <c r="E299" s="43"/>
      <c r="F299" s="43"/>
      <c r="G299" s="43"/>
      <c r="O299" s="41">
        <f t="shared" si="17"/>
        <v>12900</v>
      </c>
      <c r="U299" s="41">
        <v>2008</v>
      </c>
      <c r="V299" s="41" t="s">
        <v>325</v>
      </c>
      <c r="W299" s="41" t="s">
        <v>43</v>
      </c>
      <c r="X299" s="41" t="s">
        <v>216</v>
      </c>
      <c r="Y299" s="41">
        <v>36079</v>
      </c>
    </row>
    <row r="300" spans="1:25" x14ac:dyDescent="0.2">
      <c r="A300" s="44"/>
      <c r="B300" s="44"/>
      <c r="C300" s="44"/>
      <c r="D300" s="44"/>
      <c r="E300" s="44"/>
      <c r="F300" s="44"/>
      <c r="G300" s="44"/>
      <c r="O300" s="41">
        <f t="shared" si="17"/>
        <v>13122</v>
      </c>
      <c r="U300" s="41">
        <v>2008</v>
      </c>
      <c r="V300" s="41" t="s">
        <v>325</v>
      </c>
      <c r="W300" s="41" t="s">
        <v>43</v>
      </c>
      <c r="X300" s="41" t="s">
        <v>326</v>
      </c>
      <c r="Y300" s="41">
        <v>26307</v>
      </c>
    </row>
    <row r="301" spans="1:25" x14ac:dyDescent="0.2">
      <c r="A301" s="43"/>
      <c r="B301" s="43"/>
      <c r="C301" s="43"/>
      <c r="D301" s="43"/>
      <c r="E301" s="43"/>
      <c r="F301" s="43"/>
      <c r="G301" s="43"/>
      <c r="O301" s="41">
        <f t="shared" si="17"/>
        <v>8898</v>
      </c>
      <c r="U301" s="41">
        <v>2008</v>
      </c>
      <c r="V301" s="41" t="s">
        <v>325</v>
      </c>
      <c r="W301" s="41" t="s">
        <v>43</v>
      </c>
      <c r="X301" s="41" t="s">
        <v>327</v>
      </c>
      <c r="Y301" s="41">
        <v>29627</v>
      </c>
    </row>
    <row r="302" spans="1:25" x14ac:dyDescent="0.2">
      <c r="A302" s="44"/>
      <c r="B302" s="44"/>
      <c r="C302" s="44"/>
      <c r="D302" s="44"/>
      <c r="E302" s="44"/>
      <c r="F302" s="44"/>
      <c r="G302" s="44"/>
      <c r="O302" s="41">
        <f t="shared" si="17"/>
        <v>7216</v>
      </c>
      <c r="U302" s="41">
        <v>2008</v>
      </c>
      <c r="V302" s="41" t="s">
        <v>325</v>
      </c>
      <c r="W302" s="41" t="s">
        <v>43</v>
      </c>
      <c r="X302" s="41" t="s">
        <v>328</v>
      </c>
      <c r="Y302" s="41">
        <v>17390</v>
      </c>
    </row>
    <row r="303" spans="1:25" x14ac:dyDescent="0.2">
      <c r="A303" s="43"/>
      <c r="B303" s="43"/>
      <c r="C303" s="43"/>
      <c r="D303" s="43"/>
      <c r="E303" s="43"/>
      <c r="F303" s="43"/>
      <c r="G303" s="43"/>
      <c r="O303" s="41">
        <f t="shared" si="17"/>
        <v>5261</v>
      </c>
      <c r="U303" s="41">
        <v>2008</v>
      </c>
      <c r="V303" s="41" t="s">
        <v>325</v>
      </c>
      <c r="W303" s="41" t="s">
        <v>43</v>
      </c>
      <c r="X303" s="41" t="s">
        <v>329</v>
      </c>
      <c r="Y303" s="41">
        <v>13211</v>
      </c>
    </row>
    <row r="304" spans="1:25" x14ac:dyDescent="0.2">
      <c r="A304" s="44"/>
      <c r="B304" s="44"/>
      <c r="C304" s="44"/>
      <c r="D304" s="44"/>
      <c r="E304" s="44"/>
      <c r="F304" s="44"/>
      <c r="G304" s="44"/>
      <c r="O304" s="41">
        <f t="shared" si="17"/>
        <v>5925</v>
      </c>
      <c r="U304" s="41">
        <v>2008</v>
      </c>
      <c r="V304" s="41" t="s">
        <v>325</v>
      </c>
      <c r="W304" s="41" t="s">
        <v>43</v>
      </c>
      <c r="X304" s="41" t="s">
        <v>330</v>
      </c>
      <c r="Y304" s="41">
        <v>7907</v>
      </c>
    </row>
    <row r="305" spans="1:15" x14ac:dyDescent="0.2">
      <c r="A305" s="43"/>
      <c r="B305" s="43"/>
      <c r="C305" s="43"/>
      <c r="D305" s="43"/>
      <c r="E305" s="43"/>
      <c r="F305" s="43"/>
      <c r="G305" s="43"/>
      <c r="O305" s="41">
        <f t="shared" si="17"/>
        <v>3478</v>
      </c>
    </row>
    <row r="306" spans="1:15" x14ac:dyDescent="0.2">
      <c r="A306" s="44"/>
      <c r="B306" s="44"/>
      <c r="C306" s="44"/>
      <c r="D306" s="44"/>
      <c r="E306" s="44"/>
      <c r="F306" s="44"/>
      <c r="G306" s="44"/>
      <c r="O306" s="41">
        <f t="shared" si="17"/>
        <v>2642</v>
      </c>
    </row>
    <row r="307" spans="1:15" x14ac:dyDescent="0.2">
      <c r="A307" s="43"/>
      <c r="B307" s="43"/>
      <c r="C307" s="43"/>
      <c r="D307" s="43"/>
      <c r="E307" s="43"/>
      <c r="F307" s="43"/>
      <c r="G307" s="43"/>
      <c r="O307" s="41">
        <f t="shared" si="17"/>
        <v>1581</v>
      </c>
    </row>
    <row r="308" spans="1:15" x14ac:dyDescent="0.2">
      <c r="A308" s="44"/>
      <c r="B308" s="44"/>
      <c r="C308" s="44"/>
      <c r="D308" s="44"/>
      <c r="E308" s="44"/>
      <c r="F308" s="44"/>
      <c r="G308" s="44"/>
    </row>
    <row r="309" spans="1:15" x14ac:dyDescent="0.2">
      <c r="A309" s="43"/>
      <c r="B309" s="43"/>
      <c r="C309" s="43"/>
      <c r="D309" s="43"/>
      <c r="E309" s="43"/>
      <c r="F309" s="43"/>
      <c r="G309" s="43"/>
    </row>
    <row r="310" spans="1:15" x14ac:dyDescent="0.2">
      <c r="A310" s="44"/>
      <c r="B310" s="44"/>
      <c r="C310" s="44"/>
      <c r="D310" s="44"/>
      <c r="E310" s="44"/>
      <c r="F310" s="44"/>
      <c r="G310" s="44"/>
    </row>
    <row r="311" spans="1:15" x14ac:dyDescent="0.2">
      <c r="A311" s="43"/>
      <c r="B311" s="43"/>
      <c r="C311" s="43"/>
      <c r="D311" s="43"/>
      <c r="E311" s="43"/>
      <c r="F311" s="43"/>
      <c r="G311" s="43"/>
    </row>
    <row r="312" spans="1:15" x14ac:dyDescent="0.2">
      <c r="A312" s="44"/>
      <c r="B312" s="44"/>
      <c r="C312" s="44"/>
      <c r="D312" s="44"/>
      <c r="E312" s="44"/>
      <c r="F312" s="44"/>
      <c r="G312" s="44"/>
    </row>
    <row r="313" spans="1:15" x14ac:dyDescent="0.2">
      <c r="A313" s="43"/>
      <c r="B313" s="43"/>
      <c r="C313" s="43"/>
      <c r="D313" s="43"/>
      <c r="E313" s="43"/>
      <c r="F313" s="43"/>
      <c r="G313" s="43"/>
    </row>
    <row r="314" spans="1:15" x14ac:dyDescent="0.2">
      <c r="A314" s="44"/>
      <c r="B314" s="44"/>
      <c r="C314" s="44"/>
      <c r="D314" s="44"/>
      <c r="E314" s="44"/>
      <c r="F314" s="44"/>
      <c r="G314" s="44"/>
    </row>
    <row r="315" spans="1:15" x14ac:dyDescent="0.2">
      <c r="A315" s="43"/>
      <c r="B315" s="43"/>
      <c r="C315" s="43"/>
      <c r="D315" s="43"/>
      <c r="E315" s="43"/>
      <c r="F315" s="43"/>
      <c r="G315" s="43"/>
    </row>
    <row r="316" spans="1:15" x14ac:dyDescent="0.2">
      <c r="A316" s="44"/>
      <c r="B316" s="44"/>
      <c r="C316" s="44"/>
      <c r="D316" s="44"/>
      <c r="E316" s="44"/>
      <c r="F316" s="44"/>
      <c r="G316" s="44"/>
    </row>
    <row r="317" spans="1:15" x14ac:dyDescent="0.2">
      <c r="A317" s="43"/>
      <c r="B317" s="43"/>
      <c r="C317" s="43"/>
      <c r="D317" s="43"/>
      <c r="E317" s="43"/>
      <c r="F317" s="43"/>
      <c r="G317" s="43"/>
    </row>
    <row r="318" spans="1:15" x14ac:dyDescent="0.2">
      <c r="A318" s="44"/>
      <c r="B318" s="44"/>
      <c r="C318" s="44"/>
      <c r="D318" s="44"/>
      <c r="E318" s="44"/>
      <c r="F318" s="44"/>
      <c r="G318" s="44"/>
    </row>
    <row r="319" spans="1:15" x14ac:dyDescent="0.2">
      <c r="A319" s="43"/>
      <c r="B319" s="43"/>
      <c r="C319" s="43"/>
      <c r="D319" s="43"/>
      <c r="E319" s="43"/>
      <c r="F319" s="43"/>
      <c r="G319" s="43"/>
    </row>
    <row r="320" spans="1:15" x14ac:dyDescent="0.2">
      <c r="A320" s="44"/>
      <c r="B320" s="44"/>
      <c r="C320" s="44"/>
      <c r="D320" s="44"/>
      <c r="E320" s="44"/>
      <c r="F320" s="44"/>
      <c r="G320" s="44"/>
    </row>
    <row r="321" spans="1:7" x14ac:dyDescent="0.2">
      <c r="A321" s="43"/>
      <c r="B321" s="43"/>
      <c r="C321" s="43"/>
      <c r="D321" s="43"/>
      <c r="E321" s="43"/>
      <c r="F321" s="43"/>
      <c r="G321" s="43"/>
    </row>
    <row r="322" spans="1:7" x14ac:dyDescent="0.2">
      <c r="A322" s="44"/>
      <c r="B322" s="44"/>
      <c r="C322" s="44"/>
      <c r="D322" s="44"/>
      <c r="E322" s="44"/>
      <c r="F322" s="44"/>
      <c r="G322" s="44"/>
    </row>
    <row r="323" spans="1:7" x14ac:dyDescent="0.2">
      <c r="A323" s="43"/>
      <c r="B323" s="43"/>
      <c r="C323" s="43"/>
      <c r="D323" s="43"/>
      <c r="E323" s="43"/>
      <c r="F323" s="43"/>
      <c r="G323" s="43"/>
    </row>
    <row r="324" spans="1:7" x14ac:dyDescent="0.2">
      <c r="A324" s="44"/>
      <c r="B324" s="44"/>
      <c r="C324" s="44"/>
      <c r="D324" s="44"/>
      <c r="E324" s="44"/>
      <c r="F324" s="44"/>
      <c r="G324" s="44"/>
    </row>
    <row r="325" spans="1:7" x14ac:dyDescent="0.2">
      <c r="A325" s="43"/>
      <c r="B325" s="43"/>
      <c r="C325" s="43"/>
      <c r="D325" s="43"/>
      <c r="E325" s="43"/>
      <c r="F325" s="43"/>
      <c r="G325" s="43"/>
    </row>
    <row r="326" spans="1:7" x14ac:dyDescent="0.2">
      <c r="A326" s="44"/>
      <c r="B326" s="44"/>
      <c r="C326" s="44"/>
      <c r="D326" s="44"/>
      <c r="E326" s="44"/>
      <c r="F326" s="44"/>
      <c r="G326" s="44"/>
    </row>
    <row r="327" spans="1:7" x14ac:dyDescent="0.2">
      <c r="A327" s="43"/>
      <c r="B327" s="43"/>
      <c r="C327" s="43"/>
      <c r="D327" s="43"/>
      <c r="E327" s="43"/>
      <c r="F327" s="43"/>
      <c r="G327" s="43"/>
    </row>
    <row r="328" spans="1:7" x14ac:dyDescent="0.2">
      <c r="A328" s="44"/>
      <c r="B328" s="44"/>
      <c r="C328" s="44"/>
      <c r="D328" s="44"/>
      <c r="E328" s="44"/>
      <c r="F328" s="44"/>
      <c r="G328" s="44"/>
    </row>
    <row r="329" spans="1:7" x14ac:dyDescent="0.2">
      <c r="A329" s="43"/>
      <c r="B329" s="43"/>
      <c r="C329" s="43"/>
      <c r="D329" s="43"/>
      <c r="E329" s="43"/>
      <c r="F329" s="43"/>
      <c r="G329" s="43"/>
    </row>
    <row r="330" spans="1:7" x14ac:dyDescent="0.2">
      <c r="A330" s="44"/>
      <c r="B330" s="44"/>
      <c r="C330" s="44"/>
      <c r="D330" s="44"/>
      <c r="E330" s="44"/>
      <c r="F330" s="44"/>
      <c r="G330" s="44"/>
    </row>
    <row r="331" spans="1:7" x14ac:dyDescent="0.2">
      <c r="A331" s="43"/>
      <c r="B331" s="43"/>
      <c r="C331" s="43"/>
      <c r="D331" s="43"/>
      <c r="E331" s="43"/>
      <c r="F331" s="43"/>
      <c r="G331" s="43"/>
    </row>
    <row r="332" spans="1:7" x14ac:dyDescent="0.2">
      <c r="A332" s="44"/>
      <c r="B332" s="44"/>
      <c r="C332" s="44"/>
      <c r="D332" s="44"/>
      <c r="E332" s="44"/>
      <c r="F332" s="44"/>
      <c r="G332" s="44"/>
    </row>
    <row r="333" spans="1:7" x14ac:dyDescent="0.2">
      <c r="A333" s="43"/>
      <c r="B333" s="43"/>
      <c r="C333" s="43"/>
      <c r="D333" s="43"/>
      <c r="E333" s="43"/>
      <c r="F333" s="43"/>
      <c r="G333" s="43"/>
    </row>
    <row r="334" spans="1:7" x14ac:dyDescent="0.2">
      <c r="A334" s="44"/>
      <c r="B334" s="44"/>
      <c r="C334" s="44"/>
      <c r="D334" s="44"/>
      <c r="E334" s="44"/>
      <c r="F334" s="44"/>
      <c r="G334" s="44"/>
    </row>
    <row r="335" spans="1:7" x14ac:dyDescent="0.2">
      <c r="A335" s="43"/>
      <c r="B335" s="43"/>
      <c r="C335" s="43"/>
      <c r="D335" s="43"/>
      <c r="E335" s="43"/>
      <c r="F335" s="43"/>
      <c r="G335" s="43"/>
    </row>
    <row r="336" spans="1:7" x14ac:dyDescent="0.2">
      <c r="A336" s="44"/>
      <c r="B336" s="44"/>
      <c r="C336" s="44"/>
      <c r="D336" s="44"/>
      <c r="E336" s="44"/>
      <c r="F336" s="44"/>
      <c r="G336" s="44"/>
    </row>
    <row r="337" spans="1:7" x14ac:dyDescent="0.2">
      <c r="A337" s="43"/>
      <c r="B337" s="43"/>
      <c r="C337" s="43"/>
      <c r="D337" s="43"/>
      <c r="E337" s="43"/>
      <c r="F337" s="43"/>
      <c r="G337" s="43"/>
    </row>
    <row r="338" spans="1:7" x14ac:dyDescent="0.2">
      <c r="A338" s="44"/>
      <c r="B338" s="44"/>
      <c r="C338" s="44"/>
      <c r="D338" s="44"/>
      <c r="E338" s="44"/>
      <c r="F338" s="44"/>
      <c r="G338" s="44"/>
    </row>
    <row r="339" spans="1:7" x14ac:dyDescent="0.2">
      <c r="A339" s="43"/>
      <c r="B339" s="43"/>
      <c r="C339" s="43"/>
      <c r="D339" s="43"/>
      <c r="E339" s="43"/>
      <c r="F339" s="43"/>
      <c r="G339" s="43"/>
    </row>
    <row r="340" spans="1:7" x14ac:dyDescent="0.2">
      <c r="A340" s="44"/>
      <c r="B340" s="44"/>
      <c r="C340" s="44"/>
      <c r="D340" s="44"/>
      <c r="E340" s="44"/>
      <c r="F340" s="44"/>
      <c r="G340" s="44"/>
    </row>
    <row r="341" spans="1:7" x14ac:dyDescent="0.2">
      <c r="A341" s="43"/>
      <c r="B341" s="43"/>
      <c r="C341" s="43"/>
      <c r="D341" s="43"/>
      <c r="E341" s="43"/>
      <c r="F341" s="43"/>
      <c r="G341" s="43"/>
    </row>
    <row r="342" spans="1:7" x14ac:dyDescent="0.2">
      <c r="A342" s="44"/>
      <c r="B342" s="44"/>
      <c r="C342" s="44"/>
      <c r="D342" s="44"/>
      <c r="E342" s="44"/>
      <c r="F342" s="44"/>
      <c r="G342" s="44"/>
    </row>
    <row r="343" spans="1:7" x14ac:dyDescent="0.2">
      <c r="A343" s="43"/>
      <c r="B343" s="43"/>
      <c r="C343" s="43"/>
      <c r="D343" s="43"/>
      <c r="E343" s="43"/>
      <c r="F343" s="43"/>
      <c r="G343" s="43"/>
    </row>
    <row r="344" spans="1:7" x14ac:dyDescent="0.2">
      <c r="A344" s="44"/>
      <c r="B344" s="44"/>
      <c r="C344" s="44"/>
      <c r="D344" s="44"/>
      <c r="E344" s="44"/>
      <c r="F344" s="44"/>
      <c r="G344" s="44"/>
    </row>
    <row r="345" spans="1:7" x14ac:dyDescent="0.2">
      <c r="A345" s="43"/>
      <c r="B345" s="43"/>
      <c r="C345" s="43"/>
      <c r="D345" s="43"/>
      <c r="E345" s="43"/>
      <c r="F345" s="43"/>
      <c r="G345" s="43"/>
    </row>
    <row r="346" spans="1:7" x14ac:dyDescent="0.2">
      <c r="A346" s="44"/>
      <c r="B346" s="44"/>
      <c r="C346" s="44"/>
      <c r="D346" s="44"/>
      <c r="E346" s="44"/>
      <c r="F346" s="44"/>
      <c r="G346" s="44"/>
    </row>
    <row r="347" spans="1:7" x14ac:dyDescent="0.2">
      <c r="A347" s="43"/>
      <c r="B347" s="43"/>
      <c r="C347" s="43"/>
      <c r="D347" s="43"/>
      <c r="E347" s="43"/>
      <c r="F347" s="43"/>
      <c r="G347" s="43"/>
    </row>
    <row r="348" spans="1:7" x14ac:dyDescent="0.2">
      <c r="A348" s="44"/>
      <c r="B348" s="44"/>
      <c r="C348" s="44"/>
      <c r="D348" s="44"/>
      <c r="E348" s="44"/>
      <c r="F348" s="44"/>
      <c r="G348" s="44"/>
    </row>
    <row r="349" spans="1:7" x14ac:dyDescent="0.2">
      <c r="A349" s="43"/>
      <c r="B349" s="43"/>
      <c r="C349" s="43"/>
      <c r="D349" s="43"/>
      <c r="E349" s="43"/>
      <c r="F349" s="43"/>
      <c r="G349" s="43"/>
    </row>
    <row r="350" spans="1:7" x14ac:dyDescent="0.2">
      <c r="A350" s="44"/>
      <c r="B350" s="44"/>
      <c r="C350" s="44"/>
      <c r="D350" s="44"/>
      <c r="E350" s="44"/>
      <c r="F350" s="44"/>
      <c r="G350" s="44"/>
    </row>
    <row r="351" spans="1:7" x14ac:dyDescent="0.2">
      <c r="A351" s="43"/>
      <c r="B351" s="43"/>
      <c r="C351" s="43"/>
      <c r="D351" s="43"/>
      <c r="E351" s="43"/>
      <c r="F351" s="43"/>
      <c r="G351" s="43"/>
    </row>
    <row r="352" spans="1:7" x14ac:dyDescent="0.2">
      <c r="A352" s="44"/>
      <c r="B352" s="44"/>
      <c r="C352" s="44"/>
      <c r="D352" s="44"/>
      <c r="E352" s="44"/>
      <c r="F352" s="44"/>
      <c r="G352" s="44"/>
    </row>
    <row r="353" spans="1:7" x14ac:dyDescent="0.2">
      <c r="A353" s="43"/>
      <c r="B353" s="43"/>
      <c r="C353" s="43"/>
      <c r="D353" s="43"/>
      <c r="E353" s="43"/>
      <c r="F353" s="43"/>
      <c r="G353" s="43"/>
    </row>
    <row r="354" spans="1:7" x14ac:dyDescent="0.2">
      <c r="A354" s="44"/>
      <c r="B354" s="44"/>
      <c r="C354" s="44"/>
      <c r="D354" s="44"/>
      <c r="E354" s="44"/>
      <c r="F354" s="44"/>
      <c r="G354" s="44"/>
    </row>
    <row r="355" spans="1:7" x14ac:dyDescent="0.2">
      <c r="A355" s="43"/>
      <c r="B355" s="43"/>
      <c r="C355" s="43"/>
      <c r="D355" s="43"/>
      <c r="E355" s="43"/>
      <c r="F355" s="43"/>
      <c r="G355" s="43"/>
    </row>
    <row r="356" spans="1:7" x14ac:dyDescent="0.2">
      <c r="A356" s="44"/>
      <c r="B356" s="44"/>
      <c r="C356" s="44"/>
      <c r="D356" s="44"/>
      <c r="E356" s="44"/>
      <c r="F356" s="44"/>
      <c r="G356" s="44"/>
    </row>
    <row r="357" spans="1:7" x14ac:dyDescent="0.2">
      <c r="A357" s="43"/>
      <c r="B357" s="43"/>
      <c r="C357" s="43"/>
      <c r="D357" s="43"/>
      <c r="E357" s="43"/>
      <c r="F357" s="43"/>
      <c r="G357" s="43"/>
    </row>
    <row r="358" spans="1:7" x14ac:dyDescent="0.2">
      <c r="A358" s="44"/>
      <c r="B358" s="44"/>
      <c r="C358" s="44"/>
      <c r="D358" s="44"/>
      <c r="E358" s="44"/>
      <c r="F358" s="44"/>
      <c r="G358" s="44"/>
    </row>
    <row r="359" spans="1:7" x14ac:dyDescent="0.2">
      <c r="A359" s="43"/>
      <c r="B359" s="43"/>
      <c r="C359" s="43"/>
      <c r="D359" s="43"/>
      <c r="E359" s="43"/>
      <c r="F359" s="43"/>
      <c r="G359" s="43"/>
    </row>
    <row r="360" spans="1:7" x14ac:dyDescent="0.2">
      <c r="A360" s="44"/>
      <c r="B360" s="44"/>
      <c r="C360" s="44"/>
      <c r="D360" s="44"/>
      <c r="E360" s="44"/>
      <c r="F360" s="44"/>
      <c r="G360" s="44"/>
    </row>
    <row r="361" spans="1:7" x14ac:dyDescent="0.2">
      <c r="A361" s="43"/>
      <c r="B361" s="43"/>
      <c r="C361" s="43"/>
      <c r="D361" s="43"/>
      <c r="E361" s="43"/>
      <c r="F361" s="43"/>
      <c r="G361" s="43"/>
    </row>
    <row r="362" spans="1:7" x14ac:dyDescent="0.2">
      <c r="A362" s="44"/>
      <c r="B362" s="44"/>
      <c r="C362" s="44"/>
      <c r="D362" s="44"/>
      <c r="E362" s="44"/>
      <c r="F362" s="44"/>
      <c r="G362" s="44"/>
    </row>
    <row r="363" spans="1:7" x14ac:dyDescent="0.2">
      <c r="A363" s="43"/>
      <c r="B363" s="43"/>
      <c r="C363" s="43"/>
      <c r="D363" s="43"/>
      <c r="E363" s="43"/>
      <c r="F363" s="43"/>
      <c r="G363" s="43"/>
    </row>
    <row r="364" spans="1:7" x14ac:dyDescent="0.2">
      <c r="A364" s="44"/>
      <c r="B364" s="44"/>
      <c r="C364" s="44"/>
      <c r="D364" s="44"/>
      <c r="E364" s="44"/>
      <c r="F364" s="44"/>
      <c r="G364" s="44"/>
    </row>
    <row r="365" spans="1:7" x14ac:dyDescent="0.2">
      <c r="A365" s="43"/>
      <c r="B365" s="43"/>
      <c r="C365" s="43"/>
      <c r="D365" s="43"/>
      <c r="E365" s="43"/>
      <c r="F365" s="43"/>
      <c r="G365" s="43"/>
    </row>
    <row r="366" spans="1:7" x14ac:dyDescent="0.2">
      <c r="A366" s="44"/>
      <c r="B366" s="44"/>
      <c r="C366" s="44"/>
      <c r="D366" s="44"/>
      <c r="E366" s="44"/>
      <c r="F366" s="44"/>
      <c r="G366" s="44"/>
    </row>
    <row r="367" spans="1:7" x14ac:dyDescent="0.2">
      <c r="A367" s="43"/>
      <c r="B367" s="43"/>
      <c r="C367" s="43"/>
      <c r="D367" s="43"/>
      <c r="E367" s="43"/>
      <c r="F367" s="43"/>
      <c r="G367" s="43"/>
    </row>
    <row r="368" spans="1:7" x14ac:dyDescent="0.2">
      <c r="A368" s="44"/>
      <c r="B368" s="44"/>
      <c r="C368" s="44"/>
      <c r="D368" s="44"/>
      <c r="E368" s="44"/>
      <c r="F368" s="44"/>
      <c r="G368" s="44"/>
    </row>
    <row r="369" spans="1:7" x14ac:dyDescent="0.2">
      <c r="A369" s="43"/>
      <c r="B369" s="43"/>
      <c r="C369" s="43"/>
      <c r="D369" s="43"/>
      <c r="E369" s="43"/>
      <c r="F369" s="43"/>
      <c r="G369" s="43"/>
    </row>
    <row r="370" spans="1:7" x14ac:dyDescent="0.2">
      <c r="A370" s="44"/>
      <c r="B370" s="44"/>
      <c r="C370" s="44"/>
      <c r="D370" s="44"/>
      <c r="E370" s="44"/>
      <c r="F370" s="44"/>
      <c r="G370" s="44"/>
    </row>
    <row r="371" spans="1:7" x14ac:dyDescent="0.2">
      <c r="A371" s="43"/>
      <c r="B371" s="43"/>
      <c r="C371" s="43"/>
      <c r="D371" s="43"/>
      <c r="E371" s="43"/>
      <c r="F371" s="43"/>
      <c r="G371" s="43"/>
    </row>
    <row r="372" spans="1:7" x14ac:dyDescent="0.2">
      <c r="A372" s="44"/>
      <c r="B372" s="44"/>
      <c r="C372" s="44"/>
      <c r="D372" s="44"/>
      <c r="E372" s="44"/>
      <c r="F372" s="44"/>
      <c r="G372" s="44"/>
    </row>
    <row r="373" spans="1:7" x14ac:dyDescent="0.2">
      <c r="A373" s="43"/>
      <c r="B373" s="43"/>
      <c r="C373" s="43"/>
      <c r="D373" s="43"/>
      <c r="E373" s="43"/>
      <c r="F373" s="43"/>
      <c r="G373" s="43"/>
    </row>
    <row r="374" spans="1:7" x14ac:dyDescent="0.2">
      <c r="A374" s="44"/>
      <c r="B374" s="44"/>
      <c r="C374" s="44"/>
      <c r="D374" s="44"/>
      <c r="E374" s="44"/>
      <c r="F374" s="44"/>
      <c r="G374" s="44"/>
    </row>
    <row r="375" spans="1:7" x14ac:dyDescent="0.2">
      <c r="A375" s="43"/>
      <c r="B375" s="43"/>
      <c r="C375" s="43"/>
      <c r="D375" s="43"/>
      <c r="E375" s="43"/>
      <c r="F375" s="43"/>
      <c r="G375" s="43"/>
    </row>
    <row r="376" spans="1:7" x14ac:dyDescent="0.2">
      <c r="A376" s="44"/>
      <c r="B376" s="44"/>
      <c r="C376" s="44"/>
      <c r="D376" s="44"/>
      <c r="E376" s="44"/>
      <c r="F376" s="44"/>
      <c r="G376" s="44"/>
    </row>
    <row r="377" spans="1:7" x14ac:dyDescent="0.2">
      <c r="A377" s="43"/>
      <c r="B377" s="43"/>
      <c r="C377" s="43"/>
      <c r="D377" s="43"/>
      <c r="E377" s="43"/>
      <c r="F377" s="43"/>
      <c r="G377" s="43"/>
    </row>
    <row r="378" spans="1:7" x14ac:dyDescent="0.2">
      <c r="A378" s="44"/>
      <c r="B378" s="44"/>
      <c r="C378" s="44"/>
      <c r="D378" s="44"/>
      <c r="E378" s="44"/>
      <c r="F378" s="44"/>
      <c r="G378" s="44"/>
    </row>
    <row r="379" spans="1:7" x14ac:dyDescent="0.2">
      <c r="A379" s="43"/>
      <c r="B379" s="43"/>
      <c r="C379" s="43"/>
      <c r="D379" s="43"/>
      <c r="E379" s="43"/>
      <c r="F379" s="43"/>
      <c r="G379" s="43"/>
    </row>
    <row r="380" spans="1:7" x14ac:dyDescent="0.2">
      <c r="A380" s="44"/>
      <c r="B380" s="44"/>
      <c r="C380" s="44"/>
      <c r="D380" s="44"/>
      <c r="E380" s="44"/>
      <c r="F380" s="44"/>
      <c r="G380" s="44"/>
    </row>
    <row r="381" spans="1:7" x14ac:dyDescent="0.2">
      <c r="A381" s="43"/>
      <c r="B381" s="43"/>
      <c r="C381" s="43"/>
      <c r="D381" s="43"/>
      <c r="E381" s="43"/>
      <c r="F381" s="43"/>
      <c r="G381" s="43"/>
    </row>
    <row r="382" spans="1:7" x14ac:dyDescent="0.2">
      <c r="A382" s="44"/>
      <c r="B382" s="44"/>
      <c r="C382" s="44"/>
      <c r="D382" s="44"/>
      <c r="E382" s="44"/>
      <c r="F382" s="44"/>
      <c r="G382" s="44"/>
    </row>
    <row r="383" spans="1:7" x14ac:dyDescent="0.2">
      <c r="A383" s="43"/>
      <c r="B383" s="43"/>
      <c r="C383" s="43"/>
      <c r="D383" s="43"/>
      <c r="E383" s="43"/>
      <c r="F383" s="43"/>
      <c r="G383" s="43"/>
    </row>
    <row r="384" spans="1:7" x14ac:dyDescent="0.2">
      <c r="A384" s="44"/>
      <c r="B384" s="44"/>
      <c r="C384" s="44"/>
      <c r="D384" s="44"/>
      <c r="E384" s="44"/>
      <c r="F384" s="44"/>
      <c r="G384" s="44"/>
    </row>
    <row r="385" spans="1:7" x14ac:dyDescent="0.2">
      <c r="A385" s="43"/>
      <c r="B385" s="43"/>
      <c r="C385" s="43"/>
      <c r="D385" s="43"/>
      <c r="E385" s="43"/>
      <c r="F385" s="43"/>
      <c r="G385" s="43"/>
    </row>
    <row r="386" spans="1:7" x14ac:dyDescent="0.2">
      <c r="A386" s="44"/>
      <c r="B386" s="44"/>
      <c r="C386" s="44"/>
      <c r="D386" s="44"/>
      <c r="E386" s="44"/>
      <c r="F386" s="44"/>
      <c r="G386" s="44"/>
    </row>
    <row r="387" spans="1:7" x14ac:dyDescent="0.2">
      <c r="A387" s="43"/>
      <c r="B387" s="43"/>
      <c r="C387" s="43"/>
      <c r="D387" s="43"/>
      <c r="E387" s="43"/>
      <c r="F387" s="43"/>
      <c r="G387" s="43"/>
    </row>
    <row r="388" spans="1:7" x14ac:dyDescent="0.2">
      <c r="A388" s="44"/>
      <c r="B388" s="44"/>
      <c r="C388" s="44"/>
      <c r="D388" s="44"/>
      <c r="E388" s="44"/>
      <c r="F388" s="44"/>
      <c r="G388" s="44"/>
    </row>
    <row r="389" spans="1:7" x14ac:dyDescent="0.2">
      <c r="A389" s="43"/>
      <c r="B389" s="43"/>
      <c r="C389" s="43"/>
      <c r="D389" s="43"/>
      <c r="E389" s="43"/>
      <c r="F389" s="43"/>
      <c r="G389" s="43"/>
    </row>
    <row r="390" spans="1:7" x14ac:dyDescent="0.2">
      <c r="A390" s="44"/>
      <c r="B390" s="44"/>
      <c r="C390" s="44"/>
      <c r="D390" s="44"/>
      <c r="E390" s="44"/>
      <c r="F390" s="44"/>
      <c r="G390" s="44"/>
    </row>
    <row r="391" spans="1:7" x14ac:dyDescent="0.2">
      <c r="A391" s="43"/>
      <c r="B391" s="43"/>
      <c r="C391" s="43"/>
      <c r="D391" s="43"/>
      <c r="E391" s="43"/>
      <c r="F391" s="43"/>
      <c r="G391" s="43"/>
    </row>
    <row r="392" spans="1:7" x14ac:dyDescent="0.2">
      <c r="A392" s="44"/>
      <c r="B392" s="44"/>
      <c r="C392" s="44"/>
      <c r="D392" s="44"/>
      <c r="E392" s="44"/>
      <c r="F392" s="44"/>
      <c r="G392" s="44"/>
    </row>
    <row r="393" spans="1:7" x14ac:dyDescent="0.2">
      <c r="A393" s="43"/>
      <c r="B393" s="43"/>
      <c r="C393" s="43"/>
      <c r="D393" s="43"/>
      <c r="E393" s="43"/>
      <c r="F393" s="43"/>
      <c r="G393" s="43"/>
    </row>
    <row r="394" spans="1:7" x14ac:dyDescent="0.2">
      <c r="A394" s="44"/>
      <c r="B394" s="44"/>
      <c r="C394" s="44"/>
      <c r="D394" s="44"/>
      <c r="E394" s="44"/>
      <c r="F394" s="44"/>
      <c r="G394" s="44"/>
    </row>
    <row r="395" spans="1:7" x14ac:dyDescent="0.2">
      <c r="A395" s="43"/>
      <c r="B395" s="43"/>
      <c r="C395" s="43"/>
      <c r="D395" s="43"/>
      <c r="E395" s="43"/>
      <c r="F395" s="43"/>
      <c r="G395" s="43"/>
    </row>
    <row r="396" spans="1:7" x14ac:dyDescent="0.2">
      <c r="A396" s="44"/>
      <c r="B396" s="44"/>
      <c r="C396" s="44"/>
      <c r="D396" s="44"/>
      <c r="E396" s="44"/>
      <c r="F396" s="44"/>
      <c r="G396" s="44"/>
    </row>
    <row r="397" spans="1:7" x14ac:dyDescent="0.2">
      <c r="A397" s="43"/>
      <c r="B397" s="43"/>
      <c r="C397" s="43"/>
      <c r="D397" s="43"/>
      <c r="E397" s="43"/>
      <c r="F397" s="43"/>
      <c r="G397" s="43"/>
    </row>
    <row r="398" spans="1:7" x14ac:dyDescent="0.2">
      <c r="A398" s="44"/>
      <c r="B398" s="44"/>
      <c r="C398" s="44"/>
      <c r="D398" s="44"/>
      <c r="E398" s="44"/>
      <c r="F398" s="44"/>
      <c r="G398" s="44"/>
    </row>
    <row r="399" spans="1:7" x14ac:dyDescent="0.2">
      <c r="A399" s="43"/>
      <c r="B399" s="43"/>
      <c r="C399" s="43"/>
      <c r="D399" s="43"/>
      <c r="E399" s="43"/>
      <c r="F399" s="43"/>
      <c r="G399" s="43"/>
    </row>
    <row r="400" spans="1:7" x14ac:dyDescent="0.2">
      <c r="A400" s="44"/>
      <c r="B400" s="44"/>
      <c r="C400" s="44"/>
      <c r="D400" s="44"/>
      <c r="E400" s="44"/>
      <c r="F400" s="44"/>
      <c r="G400" s="44"/>
    </row>
    <row r="401" spans="1:7" x14ac:dyDescent="0.2">
      <c r="A401" s="43"/>
      <c r="B401" s="43"/>
      <c r="C401" s="43"/>
      <c r="D401" s="43"/>
      <c r="E401" s="43"/>
      <c r="F401" s="43"/>
      <c r="G401" s="43"/>
    </row>
    <row r="402" spans="1:7" x14ac:dyDescent="0.2">
      <c r="A402" s="44"/>
      <c r="B402" s="44"/>
      <c r="C402" s="44"/>
      <c r="D402" s="44"/>
      <c r="E402" s="44"/>
      <c r="F402" s="44"/>
      <c r="G402" s="44"/>
    </row>
    <row r="403" spans="1:7" x14ac:dyDescent="0.2">
      <c r="A403" s="43"/>
      <c r="B403" s="43"/>
      <c r="C403" s="43"/>
      <c r="D403" s="43"/>
      <c r="E403" s="43"/>
      <c r="F403" s="43"/>
      <c r="G403" s="43"/>
    </row>
    <row r="404" spans="1:7" x14ac:dyDescent="0.2">
      <c r="A404" s="44"/>
      <c r="B404" s="44"/>
      <c r="C404" s="44"/>
      <c r="D404" s="44"/>
      <c r="E404" s="44"/>
      <c r="F404" s="44"/>
      <c r="G404" s="44"/>
    </row>
    <row r="405" spans="1:7" x14ac:dyDescent="0.2">
      <c r="A405" s="43"/>
      <c r="B405" s="43"/>
      <c r="C405" s="43"/>
      <c r="D405" s="43"/>
      <c r="E405" s="43"/>
      <c r="F405" s="43"/>
      <c r="G405" s="43"/>
    </row>
    <row r="406" spans="1:7" x14ac:dyDescent="0.2">
      <c r="A406" s="44"/>
      <c r="B406" s="44"/>
      <c r="C406" s="44"/>
      <c r="D406" s="44"/>
      <c r="E406" s="44"/>
      <c r="F406" s="44"/>
      <c r="G406" s="44"/>
    </row>
    <row r="407" spans="1:7" x14ac:dyDescent="0.2">
      <c r="A407" s="43"/>
      <c r="B407" s="43"/>
      <c r="C407" s="43"/>
      <c r="D407" s="43"/>
      <c r="E407" s="43"/>
      <c r="F407" s="43"/>
      <c r="G407" s="43"/>
    </row>
    <row r="408" spans="1:7" x14ac:dyDescent="0.2">
      <c r="A408" s="44"/>
      <c r="B408" s="44"/>
      <c r="C408" s="44"/>
      <c r="D408" s="44"/>
      <c r="E408" s="44"/>
      <c r="F408" s="44"/>
      <c r="G408" s="44"/>
    </row>
    <row r="409" spans="1:7" x14ac:dyDescent="0.2">
      <c r="A409" s="43"/>
      <c r="B409" s="43"/>
      <c r="C409" s="43"/>
      <c r="D409" s="43"/>
      <c r="E409" s="43"/>
      <c r="F409" s="43"/>
      <c r="G409" s="43"/>
    </row>
    <row r="410" spans="1:7" x14ac:dyDescent="0.2">
      <c r="A410" s="44"/>
      <c r="B410" s="44"/>
      <c r="C410" s="44"/>
      <c r="D410" s="44"/>
      <c r="E410" s="44"/>
      <c r="F410" s="44"/>
      <c r="G410" s="44"/>
    </row>
    <row r="411" spans="1:7" x14ac:dyDescent="0.2">
      <c r="A411" s="43"/>
      <c r="B411" s="43"/>
      <c r="C411" s="43"/>
      <c r="D411" s="43"/>
      <c r="E411" s="43"/>
      <c r="F411" s="43"/>
      <c r="G411" s="43"/>
    </row>
    <row r="412" spans="1:7" x14ac:dyDescent="0.2">
      <c r="A412" s="44"/>
      <c r="B412" s="44"/>
      <c r="C412" s="44"/>
      <c r="D412" s="44"/>
      <c r="E412" s="44"/>
      <c r="F412" s="44"/>
      <c r="G412" s="44"/>
    </row>
    <row r="413" spans="1:7" x14ac:dyDescent="0.2">
      <c r="A413" s="43"/>
      <c r="B413" s="43"/>
      <c r="C413" s="43"/>
      <c r="D413" s="43"/>
      <c r="E413" s="43"/>
      <c r="F413" s="43"/>
      <c r="G413" s="43"/>
    </row>
    <row r="414" spans="1:7" x14ac:dyDescent="0.2">
      <c r="A414" s="44"/>
      <c r="B414" s="44"/>
      <c r="C414" s="44"/>
      <c r="D414" s="44"/>
      <c r="E414" s="44"/>
      <c r="F414" s="44"/>
      <c r="G414" s="44"/>
    </row>
    <row r="415" spans="1:7" x14ac:dyDescent="0.2">
      <c r="A415" s="43"/>
      <c r="B415" s="43"/>
      <c r="C415" s="43"/>
      <c r="D415" s="43"/>
      <c r="E415" s="43"/>
      <c r="F415" s="43"/>
      <c r="G415" s="43"/>
    </row>
    <row r="416" spans="1:7" x14ac:dyDescent="0.2">
      <c r="A416" s="44"/>
      <c r="B416" s="44"/>
      <c r="C416" s="44"/>
      <c r="D416" s="44"/>
      <c r="E416" s="44"/>
      <c r="F416" s="44"/>
      <c r="G416" s="44"/>
    </row>
    <row r="417" spans="1:7" x14ac:dyDescent="0.2">
      <c r="A417" s="43"/>
      <c r="B417" s="43"/>
      <c r="C417" s="43"/>
      <c r="D417" s="43"/>
      <c r="E417" s="43"/>
      <c r="F417" s="43"/>
      <c r="G417" s="43"/>
    </row>
    <row r="418" spans="1:7" x14ac:dyDescent="0.2">
      <c r="A418" s="44"/>
      <c r="B418" s="44"/>
      <c r="C418" s="44"/>
      <c r="D418" s="44"/>
      <c r="E418" s="44"/>
      <c r="F418" s="44"/>
      <c r="G418" s="44"/>
    </row>
    <row r="419" spans="1:7" x14ac:dyDescent="0.2">
      <c r="A419" s="43"/>
      <c r="B419" s="43"/>
      <c r="C419" s="43"/>
      <c r="D419" s="43"/>
      <c r="E419" s="43"/>
      <c r="F419" s="43"/>
      <c r="G419" s="43"/>
    </row>
    <row r="420" spans="1:7" x14ac:dyDescent="0.2">
      <c r="A420" s="44"/>
      <c r="B420" s="44"/>
      <c r="C420" s="44"/>
      <c r="D420" s="44"/>
      <c r="E420" s="44"/>
      <c r="F420" s="44"/>
      <c r="G420" s="44"/>
    </row>
    <row r="421" spans="1:7" x14ac:dyDescent="0.2">
      <c r="A421" s="43"/>
      <c r="B421" s="43"/>
      <c r="C421" s="43"/>
      <c r="D421" s="43"/>
      <c r="E421" s="43"/>
      <c r="F421" s="43"/>
      <c r="G421" s="43"/>
    </row>
    <row r="422" spans="1:7" x14ac:dyDescent="0.2">
      <c r="A422" s="44"/>
      <c r="B422" s="44"/>
      <c r="C422" s="44"/>
      <c r="D422" s="44"/>
      <c r="E422" s="44"/>
      <c r="F422" s="44"/>
      <c r="G422" s="44"/>
    </row>
    <row r="423" spans="1:7" x14ac:dyDescent="0.2">
      <c r="A423" s="43"/>
      <c r="B423" s="43"/>
      <c r="C423" s="43"/>
      <c r="D423" s="43"/>
      <c r="E423" s="43"/>
      <c r="F423" s="43"/>
      <c r="G423" s="43"/>
    </row>
    <row r="424" spans="1:7" x14ac:dyDescent="0.2">
      <c r="A424" s="44"/>
      <c r="B424" s="44"/>
      <c r="C424" s="44"/>
      <c r="D424" s="44"/>
      <c r="E424" s="44"/>
      <c r="F424" s="44"/>
      <c r="G424" s="44"/>
    </row>
    <row r="425" spans="1:7" x14ac:dyDescent="0.2">
      <c r="A425" s="43"/>
      <c r="B425" s="43"/>
      <c r="C425" s="43"/>
      <c r="D425" s="43"/>
      <c r="E425" s="43"/>
      <c r="F425" s="43"/>
      <c r="G425" s="43"/>
    </row>
    <row r="426" spans="1:7" x14ac:dyDescent="0.2">
      <c r="A426" s="44"/>
      <c r="B426" s="44"/>
      <c r="C426" s="44"/>
      <c r="D426" s="44"/>
      <c r="E426" s="44"/>
      <c r="F426" s="44"/>
      <c r="G426" s="44"/>
    </row>
    <row r="427" spans="1:7" x14ac:dyDescent="0.2">
      <c r="A427" s="43"/>
      <c r="B427" s="43"/>
      <c r="C427" s="43"/>
      <c r="D427" s="43"/>
      <c r="E427" s="43"/>
      <c r="F427" s="43"/>
      <c r="G427" s="43"/>
    </row>
    <row r="428" spans="1:7" x14ac:dyDescent="0.2">
      <c r="A428" s="44"/>
      <c r="B428" s="44"/>
      <c r="C428" s="44"/>
      <c r="D428" s="44"/>
      <c r="E428" s="44"/>
      <c r="F428" s="44"/>
      <c r="G428" s="44"/>
    </row>
    <row r="429" spans="1:7" x14ac:dyDescent="0.2">
      <c r="A429" s="43"/>
      <c r="B429" s="43"/>
      <c r="C429" s="43"/>
      <c r="D429" s="43"/>
      <c r="E429" s="43"/>
      <c r="F429" s="43"/>
      <c r="G429" s="43"/>
    </row>
    <row r="430" spans="1:7" x14ac:dyDescent="0.2">
      <c r="A430" s="44"/>
      <c r="B430" s="44"/>
      <c r="C430" s="44"/>
      <c r="D430" s="44"/>
      <c r="E430" s="44"/>
      <c r="F430" s="44"/>
      <c r="G430" s="44"/>
    </row>
    <row r="431" spans="1:7" x14ac:dyDescent="0.2">
      <c r="A431" s="43"/>
      <c r="B431" s="43"/>
      <c r="C431" s="43"/>
      <c r="D431" s="43"/>
      <c r="E431" s="43"/>
      <c r="F431" s="43"/>
      <c r="G431" s="43"/>
    </row>
    <row r="432" spans="1:7" x14ac:dyDescent="0.2">
      <c r="A432" s="44"/>
      <c r="B432" s="44"/>
      <c r="C432" s="44"/>
      <c r="D432" s="44"/>
      <c r="E432" s="44"/>
      <c r="F432" s="44"/>
      <c r="G432" s="44"/>
    </row>
    <row r="433" spans="1:7" x14ac:dyDescent="0.2">
      <c r="A433" s="43"/>
      <c r="B433" s="43"/>
      <c r="C433" s="43"/>
      <c r="D433" s="43"/>
      <c r="E433" s="43"/>
      <c r="F433" s="43"/>
      <c r="G433" s="43"/>
    </row>
    <row r="434" spans="1:7" x14ac:dyDescent="0.2">
      <c r="A434" s="44"/>
      <c r="B434" s="44"/>
      <c r="C434" s="44"/>
      <c r="D434" s="44"/>
      <c r="E434" s="44"/>
      <c r="F434" s="44"/>
      <c r="G434" s="44"/>
    </row>
    <row r="435" spans="1:7" x14ac:dyDescent="0.2">
      <c r="A435" s="43"/>
      <c r="B435" s="43"/>
      <c r="C435" s="43"/>
      <c r="D435" s="43"/>
      <c r="E435" s="43"/>
      <c r="F435" s="43"/>
      <c r="G435" s="43"/>
    </row>
    <row r="436" spans="1:7" x14ac:dyDescent="0.2">
      <c r="A436" s="44"/>
      <c r="B436" s="44"/>
      <c r="C436" s="44"/>
      <c r="D436" s="44"/>
      <c r="E436" s="44"/>
      <c r="F436" s="44"/>
      <c r="G436" s="44"/>
    </row>
    <row r="437" spans="1:7" x14ac:dyDescent="0.2">
      <c r="A437" s="43"/>
      <c r="B437" s="43"/>
      <c r="C437" s="43"/>
      <c r="D437" s="43"/>
      <c r="E437" s="43"/>
      <c r="F437" s="43"/>
      <c r="G437" s="43"/>
    </row>
    <row r="438" spans="1:7" x14ac:dyDescent="0.2">
      <c r="A438" s="44"/>
      <c r="B438" s="44"/>
      <c r="C438" s="44"/>
      <c r="D438" s="44"/>
      <c r="E438" s="44"/>
      <c r="F438" s="44"/>
      <c r="G438" s="44"/>
    </row>
    <row r="439" spans="1:7" x14ac:dyDescent="0.2">
      <c r="A439" s="43"/>
      <c r="B439" s="43"/>
      <c r="C439" s="43"/>
      <c r="D439" s="43"/>
      <c r="E439" s="43"/>
      <c r="F439" s="43"/>
      <c r="G439" s="43"/>
    </row>
    <row r="440" spans="1:7" x14ac:dyDescent="0.2">
      <c r="A440" s="44"/>
      <c r="B440" s="44"/>
      <c r="C440" s="44"/>
      <c r="D440" s="44"/>
      <c r="E440" s="44"/>
      <c r="F440" s="44"/>
      <c r="G440" s="44"/>
    </row>
    <row r="441" spans="1:7" x14ac:dyDescent="0.2">
      <c r="A441" s="43"/>
      <c r="B441" s="43"/>
      <c r="C441" s="43"/>
      <c r="D441" s="43"/>
      <c r="E441" s="43"/>
      <c r="F441" s="43"/>
      <c r="G441" s="43"/>
    </row>
    <row r="442" spans="1:7" x14ac:dyDescent="0.2">
      <c r="A442" s="44"/>
      <c r="B442" s="44"/>
      <c r="C442" s="44"/>
      <c r="D442" s="44"/>
      <c r="E442" s="44"/>
      <c r="F442" s="44"/>
      <c r="G442" s="44"/>
    </row>
    <row r="443" spans="1:7" x14ac:dyDescent="0.2">
      <c r="A443" s="43"/>
      <c r="B443" s="43"/>
      <c r="C443" s="43"/>
      <c r="D443" s="43"/>
      <c r="E443" s="43"/>
      <c r="F443" s="43"/>
      <c r="G443" s="43"/>
    </row>
    <row r="444" spans="1:7" x14ac:dyDescent="0.2">
      <c r="A444" s="44"/>
      <c r="B444" s="44"/>
      <c r="C444" s="44"/>
      <c r="D444" s="44"/>
      <c r="E444" s="44"/>
      <c r="F444" s="44"/>
      <c r="G444" s="44"/>
    </row>
    <row r="445" spans="1:7" x14ac:dyDescent="0.2">
      <c r="A445" s="43"/>
      <c r="B445" s="43"/>
      <c r="C445" s="43"/>
      <c r="D445" s="43"/>
      <c r="E445" s="43"/>
      <c r="F445" s="43"/>
      <c r="G445" s="43"/>
    </row>
    <row r="446" spans="1:7" x14ac:dyDescent="0.2">
      <c r="A446" s="44"/>
      <c r="B446" s="44"/>
      <c r="C446" s="44"/>
      <c r="D446" s="44"/>
      <c r="E446" s="44"/>
      <c r="F446" s="44"/>
      <c r="G446" s="44"/>
    </row>
    <row r="447" spans="1:7" x14ac:dyDescent="0.2">
      <c r="A447" s="43"/>
      <c r="B447" s="43"/>
      <c r="C447" s="43"/>
      <c r="D447" s="43"/>
      <c r="E447" s="43"/>
      <c r="F447" s="43"/>
      <c r="G447" s="43"/>
    </row>
    <row r="448" spans="1:7" x14ac:dyDescent="0.2">
      <c r="A448" s="44"/>
      <c r="B448" s="44"/>
      <c r="C448" s="44"/>
      <c r="D448" s="44"/>
      <c r="E448" s="44"/>
      <c r="F448" s="44"/>
      <c r="G448" s="44"/>
    </row>
    <row r="449" spans="1:7" x14ac:dyDescent="0.2">
      <c r="A449" s="43"/>
      <c r="B449" s="43"/>
      <c r="C449" s="43"/>
      <c r="D449" s="43"/>
      <c r="E449" s="43"/>
      <c r="F449" s="43"/>
      <c r="G449" s="43"/>
    </row>
    <row r="450" spans="1:7" x14ac:dyDescent="0.2">
      <c r="A450" s="44"/>
      <c r="B450" s="44"/>
      <c r="C450" s="44"/>
      <c r="D450" s="44"/>
      <c r="E450" s="44"/>
      <c r="F450" s="44"/>
      <c r="G450" s="44"/>
    </row>
    <row r="451" spans="1:7" x14ac:dyDescent="0.2">
      <c r="A451" s="43"/>
      <c r="B451" s="43"/>
      <c r="C451" s="43"/>
      <c r="D451" s="43"/>
      <c r="E451" s="43"/>
      <c r="F451" s="43"/>
      <c r="G451" s="43"/>
    </row>
    <row r="452" spans="1:7" x14ac:dyDescent="0.2">
      <c r="A452" s="44"/>
      <c r="B452" s="44"/>
      <c r="C452" s="44"/>
      <c r="D452" s="44"/>
      <c r="E452" s="44"/>
      <c r="F452" s="44"/>
      <c r="G452" s="44"/>
    </row>
    <row r="453" spans="1:7" x14ac:dyDescent="0.2">
      <c r="A453" s="43"/>
      <c r="B453" s="43"/>
      <c r="C453" s="43"/>
      <c r="D453" s="43"/>
      <c r="E453" s="43"/>
      <c r="F453" s="43"/>
      <c r="G453" s="43"/>
    </row>
    <row r="454" spans="1:7" x14ac:dyDescent="0.2">
      <c r="A454" s="44"/>
      <c r="B454" s="44"/>
      <c r="C454" s="44"/>
      <c r="D454" s="44"/>
      <c r="E454" s="44"/>
      <c r="F454" s="44"/>
      <c r="G454" s="44"/>
    </row>
    <row r="455" spans="1:7" x14ac:dyDescent="0.2">
      <c r="A455" s="43"/>
      <c r="B455" s="43"/>
      <c r="C455" s="43"/>
      <c r="D455" s="43"/>
      <c r="E455" s="43"/>
      <c r="F455" s="43"/>
      <c r="G455" s="43"/>
    </row>
    <row r="456" spans="1:7" x14ac:dyDescent="0.2">
      <c r="A456" s="44"/>
      <c r="B456" s="44"/>
      <c r="C456" s="44"/>
      <c r="D456" s="44"/>
      <c r="E456" s="44"/>
      <c r="F456" s="44"/>
      <c r="G456" s="44"/>
    </row>
    <row r="457" spans="1:7" x14ac:dyDescent="0.2">
      <c r="A457" s="43"/>
      <c r="B457" s="43"/>
      <c r="C457" s="43"/>
      <c r="D457" s="43"/>
      <c r="E457" s="43"/>
      <c r="F457" s="43"/>
      <c r="G457" s="43"/>
    </row>
    <row r="458" spans="1:7" x14ac:dyDescent="0.2">
      <c r="A458" s="44"/>
      <c r="B458" s="44"/>
      <c r="C458" s="44"/>
      <c r="D458" s="44"/>
      <c r="E458" s="44"/>
      <c r="F458" s="44"/>
      <c r="G458" s="44"/>
    </row>
    <row r="459" spans="1:7" x14ac:dyDescent="0.2">
      <c r="A459" s="43"/>
      <c r="B459" s="43"/>
      <c r="C459" s="43"/>
      <c r="D459" s="43"/>
      <c r="E459" s="43"/>
      <c r="F459" s="43"/>
      <c r="G459" s="43"/>
    </row>
    <row r="460" spans="1:7" x14ac:dyDescent="0.2">
      <c r="A460" s="44"/>
      <c r="B460" s="44"/>
      <c r="C460" s="44"/>
      <c r="D460" s="44"/>
      <c r="E460" s="44"/>
      <c r="F460" s="44"/>
      <c r="G460" s="44"/>
    </row>
    <row r="461" spans="1:7" x14ac:dyDescent="0.2">
      <c r="A461" s="43"/>
      <c r="B461" s="43"/>
      <c r="C461" s="43"/>
      <c r="D461" s="43"/>
      <c r="E461" s="43"/>
      <c r="F461" s="43"/>
      <c r="G461" s="43"/>
    </row>
    <row r="462" spans="1:7" x14ac:dyDescent="0.2">
      <c r="A462" s="44"/>
      <c r="B462" s="44"/>
      <c r="C462" s="44"/>
      <c r="D462" s="44"/>
      <c r="E462" s="44"/>
      <c r="F462" s="44"/>
      <c r="G462" s="44"/>
    </row>
    <row r="463" spans="1:7" x14ac:dyDescent="0.2">
      <c r="A463" s="43"/>
      <c r="B463" s="43"/>
      <c r="C463" s="43"/>
      <c r="D463" s="43"/>
      <c r="E463" s="43"/>
      <c r="F463" s="43"/>
      <c r="G463" s="43"/>
    </row>
    <row r="464" spans="1:7" x14ac:dyDescent="0.2">
      <c r="A464" s="44"/>
      <c r="B464" s="44"/>
      <c r="C464" s="44"/>
      <c r="D464" s="44"/>
      <c r="E464" s="44"/>
      <c r="F464" s="44"/>
      <c r="G464" s="44"/>
    </row>
    <row r="465" spans="1:7" x14ac:dyDescent="0.2">
      <c r="A465" s="43"/>
      <c r="B465" s="43"/>
      <c r="C465" s="43"/>
      <c r="D465" s="43"/>
      <c r="E465" s="43"/>
      <c r="F465" s="43"/>
      <c r="G465" s="43"/>
    </row>
    <row r="466" spans="1:7" x14ac:dyDescent="0.2">
      <c r="A466" s="44"/>
      <c r="B466" s="44"/>
      <c r="C466" s="44"/>
      <c r="D466" s="44"/>
      <c r="E466" s="44"/>
      <c r="F466" s="44"/>
      <c r="G466" s="44"/>
    </row>
    <row r="467" spans="1:7" x14ac:dyDescent="0.2">
      <c r="A467" s="43"/>
      <c r="B467" s="43"/>
      <c r="C467" s="43"/>
      <c r="D467" s="43"/>
      <c r="E467" s="43"/>
      <c r="F467" s="43"/>
      <c r="G467" s="43"/>
    </row>
    <row r="468" spans="1:7" x14ac:dyDescent="0.2">
      <c r="A468" s="44"/>
      <c r="B468" s="44"/>
      <c r="C468" s="44"/>
      <c r="D468" s="44"/>
      <c r="E468" s="44"/>
      <c r="F468" s="44"/>
      <c r="G468" s="44"/>
    </row>
    <row r="469" spans="1:7" x14ac:dyDescent="0.2">
      <c r="A469" s="43"/>
      <c r="B469" s="43"/>
      <c r="C469" s="43"/>
      <c r="D469" s="43"/>
      <c r="E469" s="43"/>
      <c r="F469" s="43"/>
      <c r="G469" s="43"/>
    </row>
    <row r="470" spans="1:7" x14ac:dyDescent="0.2">
      <c r="A470" s="44"/>
      <c r="B470" s="44"/>
      <c r="C470" s="44"/>
      <c r="D470" s="44"/>
      <c r="E470" s="44"/>
      <c r="F470" s="44"/>
      <c r="G470" s="44"/>
    </row>
    <row r="471" spans="1:7" x14ac:dyDescent="0.2">
      <c r="A471" s="43"/>
      <c r="B471" s="43"/>
      <c r="C471" s="43"/>
      <c r="D471" s="43"/>
      <c r="E471" s="43"/>
      <c r="F471" s="43"/>
      <c r="G471" s="43"/>
    </row>
    <row r="472" spans="1:7" x14ac:dyDescent="0.2">
      <c r="A472" s="44"/>
      <c r="B472" s="44"/>
      <c r="C472" s="44"/>
      <c r="D472" s="44"/>
      <c r="E472" s="44"/>
      <c r="F472" s="44"/>
      <c r="G472" s="44"/>
    </row>
    <row r="473" spans="1:7" x14ac:dyDescent="0.2">
      <c r="A473" s="43"/>
      <c r="B473" s="43"/>
      <c r="C473" s="43"/>
      <c r="D473" s="43"/>
      <c r="E473" s="43"/>
      <c r="F473" s="43"/>
      <c r="G473" s="43"/>
    </row>
    <row r="474" spans="1:7" x14ac:dyDescent="0.2">
      <c r="A474" s="44"/>
      <c r="B474" s="44"/>
      <c r="C474" s="44"/>
      <c r="D474" s="44"/>
      <c r="E474" s="44"/>
      <c r="F474" s="44"/>
      <c r="G474" s="44"/>
    </row>
    <row r="475" spans="1:7" x14ac:dyDescent="0.2">
      <c r="A475" s="43"/>
      <c r="B475" s="43"/>
      <c r="C475" s="43"/>
      <c r="D475" s="43"/>
      <c r="E475" s="43"/>
      <c r="F475" s="43"/>
      <c r="G475" s="43"/>
    </row>
    <row r="476" spans="1:7" x14ac:dyDescent="0.2">
      <c r="A476" s="44"/>
      <c r="B476" s="44"/>
      <c r="C476" s="44"/>
      <c r="D476" s="44"/>
      <c r="E476" s="44"/>
      <c r="F476" s="44"/>
      <c r="G476" s="44"/>
    </row>
    <row r="477" spans="1:7" x14ac:dyDescent="0.2">
      <c r="A477" s="43"/>
      <c r="B477" s="43"/>
      <c r="C477" s="43"/>
      <c r="D477" s="43"/>
      <c r="E477" s="43"/>
      <c r="F477" s="43"/>
      <c r="G477" s="43"/>
    </row>
    <row r="478" spans="1:7" x14ac:dyDescent="0.2">
      <c r="A478" s="44"/>
      <c r="B478" s="44"/>
      <c r="C478" s="44"/>
      <c r="D478" s="44"/>
      <c r="E478" s="44"/>
      <c r="F478" s="44"/>
      <c r="G478" s="44"/>
    </row>
    <row r="479" spans="1:7" x14ac:dyDescent="0.2">
      <c r="A479" s="43"/>
      <c r="B479" s="43"/>
      <c r="C479" s="43"/>
      <c r="D479" s="43"/>
      <c r="E479" s="43"/>
      <c r="F479" s="43"/>
      <c r="G479" s="43"/>
    </row>
    <row r="480" spans="1:7" x14ac:dyDescent="0.2">
      <c r="A480" s="44"/>
      <c r="B480" s="44"/>
      <c r="C480" s="44"/>
      <c r="D480" s="44"/>
      <c r="E480" s="44"/>
      <c r="F480" s="44"/>
      <c r="G480" s="44"/>
    </row>
    <row r="481" spans="1:7" x14ac:dyDescent="0.2">
      <c r="A481" s="43"/>
      <c r="B481" s="43"/>
      <c r="C481" s="43"/>
      <c r="D481" s="43"/>
      <c r="E481" s="43"/>
      <c r="F481" s="43"/>
      <c r="G481" s="43"/>
    </row>
    <row r="482" spans="1:7" x14ac:dyDescent="0.2">
      <c r="A482" s="44"/>
      <c r="B482" s="44"/>
      <c r="C482" s="44"/>
      <c r="D482" s="44"/>
      <c r="E482" s="44"/>
      <c r="F482" s="44"/>
      <c r="G482" s="44"/>
    </row>
    <row r="483" spans="1:7" x14ac:dyDescent="0.2">
      <c r="A483" s="43"/>
      <c r="B483" s="43"/>
      <c r="C483" s="43"/>
      <c r="D483" s="43"/>
      <c r="E483" s="43"/>
      <c r="F483" s="43"/>
      <c r="G483" s="43"/>
    </row>
    <row r="484" spans="1:7" x14ac:dyDescent="0.2">
      <c r="A484" s="44"/>
      <c r="B484" s="44"/>
      <c r="C484" s="44"/>
      <c r="D484" s="44"/>
      <c r="E484" s="44"/>
      <c r="F484" s="44"/>
      <c r="G484" s="44"/>
    </row>
    <row r="485" spans="1:7" x14ac:dyDescent="0.2">
      <c r="A485" s="43"/>
      <c r="B485" s="43"/>
      <c r="C485" s="43"/>
      <c r="D485" s="43"/>
      <c r="E485" s="43"/>
      <c r="F485" s="43"/>
      <c r="G485" s="43"/>
    </row>
    <row r="486" spans="1:7" x14ac:dyDescent="0.2">
      <c r="A486" s="44"/>
      <c r="B486" s="44"/>
      <c r="C486" s="44"/>
      <c r="D486" s="44"/>
      <c r="E486" s="44"/>
      <c r="F486" s="44"/>
      <c r="G486" s="44"/>
    </row>
    <row r="487" spans="1:7" x14ac:dyDescent="0.2">
      <c r="A487" s="43"/>
      <c r="B487" s="43"/>
      <c r="C487" s="43"/>
      <c r="D487" s="43"/>
      <c r="E487" s="43"/>
      <c r="F487" s="43"/>
      <c r="G487" s="43"/>
    </row>
    <row r="488" spans="1:7" x14ac:dyDescent="0.2">
      <c r="A488" s="44"/>
      <c r="B488" s="44"/>
      <c r="C488" s="44"/>
      <c r="D488" s="44"/>
      <c r="E488" s="44"/>
      <c r="F488" s="44"/>
      <c r="G488" s="44"/>
    </row>
    <row r="489" spans="1:7" x14ac:dyDescent="0.2">
      <c r="A489" s="43"/>
      <c r="B489" s="43"/>
      <c r="C489" s="43"/>
      <c r="D489" s="43"/>
      <c r="E489" s="43"/>
      <c r="F489" s="43"/>
      <c r="G489" s="43"/>
    </row>
    <row r="490" spans="1:7" x14ac:dyDescent="0.2">
      <c r="A490" s="44"/>
      <c r="B490" s="44"/>
      <c r="C490" s="44"/>
      <c r="D490" s="44"/>
      <c r="E490" s="44"/>
      <c r="F490" s="44"/>
      <c r="G490" s="44"/>
    </row>
    <row r="491" spans="1:7" x14ac:dyDescent="0.2">
      <c r="A491" s="43"/>
      <c r="B491" s="43"/>
      <c r="C491" s="43"/>
      <c r="D491" s="43"/>
      <c r="E491" s="43"/>
      <c r="F491" s="43"/>
      <c r="G491" s="43"/>
    </row>
    <row r="492" spans="1:7" x14ac:dyDescent="0.2">
      <c r="A492" s="44"/>
      <c r="B492" s="44"/>
      <c r="C492" s="44"/>
      <c r="D492" s="44"/>
      <c r="E492" s="44"/>
      <c r="F492" s="44"/>
      <c r="G492" s="44"/>
    </row>
    <row r="493" spans="1:7" x14ac:dyDescent="0.2">
      <c r="A493" s="43"/>
      <c r="B493" s="43"/>
      <c r="C493" s="43"/>
      <c r="D493" s="43"/>
      <c r="E493" s="43"/>
      <c r="F493" s="43"/>
      <c r="G493" s="43"/>
    </row>
    <row r="494" spans="1:7" x14ac:dyDescent="0.2">
      <c r="A494" s="44"/>
      <c r="B494" s="44"/>
      <c r="C494" s="44"/>
      <c r="D494" s="44"/>
      <c r="E494" s="44"/>
      <c r="F494" s="44"/>
      <c r="G494" s="44"/>
    </row>
    <row r="495" spans="1:7" x14ac:dyDescent="0.2">
      <c r="A495" s="43"/>
      <c r="B495" s="43"/>
      <c r="C495" s="43"/>
      <c r="D495" s="43"/>
      <c r="E495" s="43"/>
      <c r="F495" s="43"/>
      <c r="G495" s="43"/>
    </row>
    <row r="496" spans="1:7" x14ac:dyDescent="0.2">
      <c r="A496" s="44"/>
      <c r="B496" s="44"/>
      <c r="C496" s="44"/>
      <c r="D496" s="44"/>
      <c r="E496" s="44"/>
      <c r="F496" s="44"/>
      <c r="G496" s="44"/>
    </row>
    <row r="497" spans="1:7" x14ac:dyDescent="0.2">
      <c r="A497" s="43"/>
      <c r="B497" s="43"/>
      <c r="C497" s="43"/>
      <c r="D497" s="43"/>
      <c r="E497" s="43"/>
      <c r="F497" s="43"/>
      <c r="G497" s="43"/>
    </row>
    <row r="498" spans="1:7" x14ac:dyDescent="0.2">
      <c r="A498" s="44"/>
      <c r="B498" s="44"/>
      <c r="C498" s="44"/>
      <c r="D498" s="44"/>
      <c r="E498" s="44"/>
      <c r="F498" s="44"/>
      <c r="G498" s="44"/>
    </row>
    <row r="499" spans="1:7" x14ac:dyDescent="0.2">
      <c r="A499" s="43"/>
      <c r="B499" s="43"/>
      <c r="C499" s="43"/>
      <c r="D499" s="43"/>
      <c r="E499" s="43"/>
      <c r="F499" s="43"/>
      <c r="G499" s="43"/>
    </row>
    <row r="500" spans="1:7" x14ac:dyDescent="0.2">
      <c r="A500" s="44"/>
      <c r="B500" s="44"/>
      <c r="C500" s="44"/>
      <c r="D500" s="44"/>
      <c r="E500" s="44"/>
      <c r="F500" s="44"/>
      <c r="G500" s="44"/>
    </row>
    <row r="501" spans="1:7" x14ac:dyDescent="0.2">
      <c r="A501" s="43"/>
      <c r="B501" s="43"/>
      <c r="C501" s="43"/>
      <c r="D501" s="43"/>
      <c r="E501" s="43"/>
      <c r="F501" s="43"/>
      <c r="G501" s="43"/>
    </row>
    <row r="502" spans="1:7" x14ac:dyDescent="0.2">
      <c r="A502" s="44"/>
      <c r="B502" s="44"/>
      <c r="C502" s="44"/>
      <c r="D502" s="44"/>
      <c r="E502" s="44"/>
      <c r="F502" s="44"/>
      <c r="G502" s="44"/>
    </row>
    <row r="503" spans="1:7" x14ac:dyDescent="0.2">
      <c r="A503" s="43"/>
      <c r="B503" s="43"/>
      <c r="C503" s="43"/>
      <c r="D503" s="43"/>
      <c r="E503" s="43"/>
      <c r="F503" s="43"/>
      <c r="G503" s="43"/>
    </row>
    <row r="504" spans="1:7" x14ac:dyDescent="0.2">
      <c r="A504" s="44"/>
      <c r="B504" s="44"/>
      <c r="C504" s="44"/>
      <c r="D504" s="44"/>
      <c r="E504" s="44"/>
      <c r="F504" s="44"/>
      <c r="G504" s="44"/>
    </row>
    <row r="505" spans="1:7" x14ac:dyDescent="0.2">
      <c r="A505" s="43"/>
      <c r="B505" s="43"/>
      <c r="C505" s="43"/>
      <c r="D505" s="43"/>
      <c r="E505" s="43"/>
      <c r="F505" s="43"/>
      <c r="G505" s="43"/>
    </row>
    <row r="506" spans="1:7" x14ac:dyDescent="0.2">
      <c r="A506" s="44"/>
      <c r="B506" s="44"/>
      <c r="C506" s="44"/>
      <c r="D506" s="44"/>
      <c r="E506" s="44"/>
      <c r="F506" s="44"/>
      <c r="G506" s="44"/>
    </row>
    <row r="507" spans="1:7" x14ac:dyDescent="0.2">
      <c r="A507" s="43"/>
      <c r="B507" s="43"/>
      <c r="C507" s="43"/>
      <c r="D507" s="43"/>
      <c r="E507" s="43"/>
      <c r="F507" s="43"/>
      <c r="G507" s="43"/>
    </row>
    <row r="508" spans="1:7" x14ac:dyDescent="0.2">
      <c r="A508" s="44"/>
      <c r="B508" s="44"/>
      <c r="C508" s="44"/>
      <c r="D508" s="44"/>
      <c r="E508" s="44"/>
      <c r="F508" s="44"/>
      <c r="G508" s="44"/>
    </row>
    <row r="509" spans="1:7" x14ac:dyDescent="0.2">
      <c r="A509" s="43"/>
      <c r="B509" s="43"/>
      <c r="C509" s="43"/>
      <c r="D509" s="43"/>
      <c r="E509" s="43"/>
      <c r="F509" s="43"/>
      <c r="G509" s="43"/>
    </row>
    <row r="510" spans="1:7" x14ac:dyDescent="0.2">
      <c r="A510" s="44"/>
      <c r="B510" s="44"/>
      <c r="C510" s="44"/>
      <c r="D510" s="44"/>
      <c r="E510" s="44"/>
      <c r="F510" s="44"/>
      <c r="G510" s="44"/>
    </row>
    <row r="511" spans="1:7" x14ac:dyDescent="0.2">
      <c r="A511" s="43"/>
      <c r="B511" s="43"/>
      <c r="C511" s="43"/>
      <c r="D511" s="43"/>
      <c r="E511" s="43"/>
      <c r="F511" s="43"/>
      <c r="G511" s="43"/>
    </row>
    <row r="512" spans="1:7" x14ac:dyDescent="0.2">
      <c r="A512" s="44"/>
      <c r="B512" s="44"/>
      <c r="C512" s="44"/>
      <c r="D512" s="44"/>
      <c r="E512" s="44"/>
      <c r="F512" s="44"/>
      <c r="G512" s="44"/>
    </row>
    <row r="513" spans="1:7" x14ac:dyDescent="0.2">
      <c r="A513" s="43"/>
      <c r="B513" s="43"/>
      <c r="C513" s="43"/>
      <c r="D513" s="43"/>
      <c r="E513" s="43"/>
      <c r="F513" s="43"/>
      <c r="G513" s="43"/>
    </row>
    <row r="514" spans="1:7" x14ac:dyDescent="0.2">
      <c r="A514" s="44"/>
      <c r="B514" s="44"/>
      <c r="C514" s="44"/>
      <c r="D514" s="44"/>
      <c r="E514" s="44"/>
      <c r="F514" s="44"/>
      <c r="G514" s="44"/>
    </row>
    <row r="515" spans="1:7" x14ac:dyDescent="0.2">
      <c r="A515" s="43"/>
      <c r="B515" s="43"/>
      <c r="C515" s="43"/>
      <c r="D515" s="43"/>
      <c r="E515" s="43"/>
      <c r="F515" s="43"/>
      <c r="G515" s="43"/>
    </row>
    <row r="516" spans="1:7" x14ac:dyDescent="0.2">
      <c r="A516" s="44"/>
      <c r="B516" s="44"/>
      <c r="C516" s="44"/>
      <c r="D516" s="44"/>
      <c r="E516" s="44"/>
      <c r="F516" s="44"/>
      <c r="G516" s="44"/>
    </row>
    <row r="517" spans="1:7" x14ac:dyDescent="0.2">
      <c r="A517" s="43"/>
      <c r="B517" s="43"/>
      <c r="C517" s="43"/>
      <c r="D517" s="43"/>
      <c r="E517" s="43"/>
      <c r="F517" s="43"/>
      <c r="G517" s="43"/>
    </row>
    <row r="518" spans="1:7" x14ac:dyDescent="0.2">
      <c r="A518" s="44"/>
      <c r="B518" s="44"/>
      <c r="C518" s="44"/>
      <c r="D518" s="44"/>
      <c r="E518" s="44"/>
      <c r="F518" s="44"/>
      <c r="G518" s="44"/>
    </row>
    <row r="519" spans="1:7" x14ac:dyDescent="0.2">
      <c r="A519" s="43"/>
      <c r="B519" s="43"/>
      <c r="C519" s="43"/>
      <c r="D519" s="43"/>
      <c r="E519" s="43"/>
      <c r="F519" s="43"/>
      <c r="G519" s="43"/>
    </row>
    <row r="520" spans="1:7" x14ac:dyDescent="0.2">
      <c r="A520" s="44"/>
      <c r="B520" s="44"/>
      <c r="C520" s="44"/>
      <c r="D520" s="44"/>
      <c r="E520" s="44"/>
      <c r="F520" s="44"/>
      <c r="G520" s="44"/>
    </row>
    <row r="521" spans="1:7" x14ac:dyDescent="0.2">
      <c r="A521" s="43"/>
      <c r="B521" s="43"/>
      <c r="C521" s="43"/>
      <c r="D521" s="43"/>
      <c r="E521" s="43"/>
      <c r="F521" s="43"/>
      <c r="G521" s="43"/>
    </row>
    <row r="522" spans="1:7" x14ac:dyDescent="0.2">
      <c r="A522" s="44"/>
      <c r="B522" s="44"/>
      <c r="C522" s="44"/>
      <c r="D522" s="44"/>
      <c r="E522" s="44"/>
      <c r="F522" s="44"/>
      <c r="G522" s="44"/>
    </row>
    <row r="523" spans="1:7" x14ac:dyDescent="0.2">
      <c r="A523" s="43"/>
      <c r="B523" s="43"/>
      <c r="C523" s="43"/>
      <c r="D523" s="43"/>
      <c r="E523" s="43"/>
      <c r="F523" s="43"/>
      <c r="G523" s="43"/>
    </row>
    <row r="524" spans="1:7" x14ac:dyDescent="0.2">
      <c r="A524" s="44"/>
      <c r="B524" s="44"/>
      <c r="C524" s="44"/>
      <c r="D524" s="44"/>
      <c r="E524" s="44"/>
      <c r="F524" s="44"/>
      <c r="G524" s="44"/>
    </row>
    <row r="525" spans="1:7" x14ac:dyDescent="0.2">
      <c r="A525" s="43"/>
      <c r="B525" s="43"/>
      <c r="C525" s="43"/>
      <c r="D525" s="43"/>
      <c r="E525" s="43"/>
      <c r="F525" s="43"/>
      <c r="G525" s="43"/>
    </row>
    <row r="526" spans="1:7" x14ac:dyDescent="0.2">
      <c r="A526" s="44"/>
      <c r="B526" s="44"/>
      <c r="C526" s="44"/>
      <c r="D526" s="44"/>
      <c r="E526" s="44"/>
      <c r="F526" s="44"/>
      <c r="G526" s="44"/>
    </row>
    <row r="527" spans="1:7" x14ac:dyDescent="0.2">
      <c r="A527" s="43"/>
      <c r="B527" s="43"/>
      <c r="C527" s="43"/>
      <c r="D527" s="43"/>
      <c r="E527" s="43"/>
      <c r="F527" s="43"/>
      <c r="G527" s="43"/>
    </row>
    <row r="528" spans="1:7" x14ac:dyDescent="0.2">
      <c r="A528" s="44"/>
      <c r="B528" s="44"/>
      <c r="C528" s="44"/>
      <c r="D528" s="44"/>
      <c r="E528" s="44"/>
      <c r="F528" s="44"/>
      <c r="G528" s="44"/>
    </row>
    <row r="529" spans="1:7" x14ac:dyDescent="0.2">
      <c r="A529" s="43"/>
      <c r="B529" s="43"/>
      <c r="C529" s="43"/>
      <c r="D529" s="43"/>
      <c r="E529" s="43"/>
      <c r="F529" s="43"/>
      <c r="G529" s="43"/>
    </row>
    <row r="530" spans="1:7" x14ac:dyDescent="0.2">
      <c r="A530" s="44"/>
      <c r="B530" s="44"/>
      <c r="C530" s="44"/>
      <c r="D530" s="44"/>
      <c r="E530" s="44"/>
      <c r="F530" s="44"/>
      <c r="G530" s="44"/>
    </row>
    <row r="531" spans="1:7" x14ac:dyDescent="0.2">
      <c r="A531" s="43"/>
      <c r="B531" s="43"/>
      <c r="C531" s="43"/>
      <c r="D531" s="43"/>
      <c r="E531" s="43"/>
      <c r="F531" s="43"/>
      <c r="G531" s="43"/>
    </row>
    <row r="532" spans="1:7" x14ac:dyDescent="0.2">
      <c r="A532" s="44"/>
      <c r="B532" s="44"/>
      <c r="C532" s="44"/>
      <c r="D532" s="44"/>
      <c r="E532" s="44"/>
      <c r="F532" s="44"/>
      <c r="G532" s="44"/>
    </row>
    <row r="533" spans="1:7" x14ac:dyDescent="0.2">
      <c r="A533" s="43"/>
      <c r="B533" s="43"/>
      <c r="C533" s="43"/>
      <c r="D533" s="43"/>
      <c r="E533" s="43"/>
      <c r="F533" s="43"/>
      <c r="G533" s="43"/>
    </row>
    <row r="534" spans="1:7" x14ac:dyDescent="0.2">
      <c r="A534" s="44"/>
      <c r="B534" s="44"/>
      <c r="C534" s="44"/>
      <c r="D534" s="44"/>
      <c r="E534" s="44"/>
      <c r="F534" s="44"/>
      <c r="G534" s="44"/>
    </row>
    <row r="535" spans="1:7" x14ac:dyDescent="0.2">
      <c r="A535" s="43"/>
      <c r="B535" s="43"/>
      <c r="C535" s="43"/>
      <c r="D535" s="43"/>
      <c r="E535" s="43"/>
      <c r="F535" s="43"/>
      <c r="G535" s="43"/>
    </row>
    <row r="536" spans="1:7" x14ac:dyDescent="0.2">
      <c r="A536" s="44"/>
      <c r="B536" s="44"/>
      <c r="C536" s="44"/>
      <c r="D536" s="44"/>
      <c r="E536" s="44"/>
      <c r="F536" s="44"/>
      <c r="G536" s="44"/>
    </row>
    <row r="537" spans="1:7" x14ac:dyDescent="0.2">
      <c r="A537" s="43"/>
      <c r="B537" s="43"/>
      <c r="C537" s="43"/>
      <c r="D537" s="43"/>
      <c r="E537" s="43"/>
      <c r="F537" s="43"/>
      <c r="G537" s="43"/>
    </row>
    <row r="538" spans="1:7" x14ac:dyDescent="0.2">
      <c r="A538" s="44"/>
      <c r="B538" s="44"/>
      <c r="C538" s="44"/>
      <c r="D538" s="44"/>
      <c r="E538" s="44"/>
      <c r="F538" s="44"/>
      <c r="G538" s="44"/>
    </row>
    <row r="539" spans="1:7" x14ac:dyDescent="0.2">
      <c r="A539" s="43"/>
      <c r="B539" s="43"/>
      <c r="C539" s="43"/>
      <c r="D539" s="43"/>
      <c r="E539" s="43"/>
      <c r="F539" s="43"/>
      <c r="G539" s="43"/>
    </row>
    <row r="540" spans="1:7" x14ac:dyDescent="0.2">
      <c r="A540" s="44"/>
      <c r="B540" s="44"/>
      <c r="C540" s="44"/>
      <c r="D540" s="44"/>
      <c r="E540" s="44"/>
      <c r="F540" s="44"/>
      <c r="G540" s="44"/>
    </row>
    <row r="541" spans="1:7" x14ac:dyDescent="0.2">
      <c r="A541" s="43"/>
      <c r="B541" s="43"/>
      <c r="C541" s="43"/>
      <c r="D541" s="43"/>
      <c r="E541" s="43"/>
      <c r="F541" s="43"/>
      <c r="G541" s="43"/>
    </row>
    <row r="542" spans="1:7" x14ac:dyDescent="0.2">
      <c r="A542" s="44"/>
      <c r="B542" s="44"/>
      <c r="C542" s="44"/>
      <c r="D542" s="44"/>
      <c r="E542" s="44"/>
      <c r="F542" s="44"/>
      <c r="G542" s="44"/>
    </row>
    <row r="543" spans="1:7" x14ac:dyDescent="0.2">
      <c r="A543" s="43"/>
      <c r="B543" s="43"/>
      <c r="C543" s="43"/>
      <c r="D543" s="43"/>
      <c r="E543" s="43"/>
      <c r="F543" s="43"/>
      <c r="G543" s="43"/>
    </row>
    <row r="544" spans="1:7" x14ac:dyDescent="0.2">
      <c r="A544" s="44"/>
      <c r="B544" s="44"/>
      <c r="C544" s="44"/>
      <c r="D544" s="44"/>
      <c r="E544" s="44"/>
      <c r="F544" s="44"/>
      <c r="G544" s="44"/>
    </row>
    <row r="545" spans="1:7" x14ac:dyDescent="0.2">
      <c r="A545" s="43"/>
      <c r="B545" s="43"/>
      <c r="C545" s="43"/>
      <c r="D545" s="43"/>
      <c r="E545" s="43"/>
      <c r="F545" s="43"/>
      <c r="G545" s="43"/>
    </row>
    <row r="546" spans="1:7" x14ac:dyDescent="0.2">
      <c r="A546" s="44"/>
      <c r="B546" s="44"/>
      <c r="C546" s="44"/>
      <c r="D546" s="44"/>
      <c r="E546" s="44"/>
      <c r="F546" s="44"/>
      <c r="G546" s="44"/>
    </row>
    <row r="547" spans="1:7" x14ac:dyDescent="0.2">
      <c r="A547" s="43"/>
      <c r="B547" s="43"/>
      <c r="C547" s="43"/>
      <c r="D547" s="43"/>
      <c r="E547" s="43"/>
      <c r="F547" s="43"/>
      <c r="G547" s="43"/>
    </row>
    <row r="548" spans="1:7" x14ac:dyDescent="0.2">
      <c r="A548" s="44"/>
      <c r="B548" s="44"/>
      <c r="C548" s="44"/>
      <c r="D548" s="44"/>
      <c r="E548" s="44"/>
      <c r="F548" s="44"/>
      <c r="G548" s="44"/>
    </row>
    <row r="549" spans="1:7" x14ac:dyDescent="0.2">
      <c r="A549" s="43"/>
      <c r="B549" s="43"/>
      <c r="C549" s="43"/>
      <c r="D549" s="43"/>
      <c r="E549" s="43"/>
      <c r="F549" s="43"/>
      <c r="G549" s="43"/>
    </row>
    <row r="550" spans="1:7" x14ac:dyDescent="0.2">
      <c r="A550" s="44"/>
      <c r="B550" s="44"/>
      <c r="C550" s="44"/>
      <c r="D550" s="44"/>
      <c r="E550" s="44"/>
      <c r="F550" s="44"/>
      <c r="G550" s="44"/>
    </row>
    <row r="551" spans="1:7" x14ac:dyDescent="0.2">
      <c r="A551" s="43"/>
      <c r="B551" s="43"/>
      <c r="C551" s="43"/>
      <c r="D551" s="43"/>
      <c r="E551" s="43"/>
      <c r="F551" s="43"/>
      <c r="G551" s="43"/>
    </row>
    <row r="552" spans="1:7" x14ac:dyDescent="0.2">
      <c r="A552" s="44"/>
      <c r="B552" s="44"/>
      <c r="C552" s="44"/>
      <c r="D552" s="44"/>
      <c r="E552" s="44"/>
      <c r="F552" s="44"/>
      <c r="G552" s="44"/>
    </row>
    <row r="553" spans="1:7" x14ac:dyDescent="0.2">
      <c r="A553" s="43"/>
      <c r="B553" s="43"/>
      <c r="C553" s="43"/>
      <c r="D553" s="43"/>
      <c r="E553" s="43"/>
      <c r="F553" s="43"/>
      <c r="G553" s="43"/>
    </row>
    <row r="554" spans="1:7" x14ac:dyDescent="0.2">
      <c r="A554" s="44"/>
      <c r="B554" s="44"/>
      <c r="C554" s="44"/>
      <c r="D554" s="44"/>
      <c r="E554" s="44"/>
      <c r="F554" s="44"/>
      <c r="G554" s="44"/>
    </row>
    <row r="555" spans="1:7" x14ac:dyDescent="0.2">
      <c r="A555" s="43"/>
      <c r="B555" s="43"/>
      <c r="C555" s="43"/>
      <c r="D555" s="43"/>
      <c r="E555" s="43"/>
      <c r="F555" s="43"/>
      <c r="G555" s="43"/>
    </row>
    <row r="556" spans="1:7" x14ac:dyDescent="0.2">
      <c r="A556" s="44"/>
      <c r="B556" s="44"/>
      <c r="C556" s="44"/>
      <c r="D556" s="44"/>
      <c r="E556" s="44"/>
      <c r="F556" s="44"/>
      <c r="G556" s="44"/>
    </row>
    <row r="557" spans="1:7" x14ac:dyDescent="0.2">
      <c r="A557" s="43"/>
      <c r="B557" s="43"/>
      <c r="C557" s="43"/>
      <c r="D557" s="43"/>
      <c r="E557" s="43"/>
      <c r="F557" s="43"/>
      <c r="G557" s="43"/>
    </row>
    <row r="558" spans="1:7" x14ac:dyDescent="0.2">
      <c r="A558" s="44"/>
      <c r="B558" s="44"/>
      <c r="C558" s="44"/>
      <c r="D558" s="44"/>
      <c r="E558" s="44"/>
      <c r="F558" s="44"/>
      <c r="G558" s="44"/>
    </row>
    <row r="559" spans="1:7" x14ac:dyDescent="0.2">
      <c r="A559" s="43"/>
      <c r="B559" s="43"/>
      <c r="C559" s="43"/>
      <c r="D559" s="43"/>
      <c r="E559" s="43"/>
      <c r="F559" s="43"/>
      <c r="G559" s="43"/>
    </row>
    <row r="560" spans="1:7" x14ac:dyDescent="0.2">
      <c r="A560" s="44"/>
      <c r="B560" s="44"/>
      <c r="C560" s="44"/>
      <c r="D560" s="44"/>
      <c r="E560" s="44"/>
      <c r="F560" s="44"/>
      <c r="G560" s="44"/>
    </row>
    <row r="561" spans="1:7" x14ac:dyDescent="0.2">
      <c r="A561" s="43"/>
      <c r="B561" s="43"/>
      <c r="C561" s="43"/>
      <c r="D561" s="43"/>
      <c r="E561" s="43"/>
      <c r="F561" s="43"/>
      <c r="G561" s="43"/>
    </row>
    <row r="562" spans="1:7" x14ac:dyDescent="0.2">
      <c r="A562" s="44"/>
      <c r="B562" s="44"/>
      <c r="C562" s="44"/>
      <c r="D562" s="44"/>
      <c r="E562" s="44"/>
      <c r="F562" s="44"/>
      <c r="G562" s="44"/>
    </row>
    <row r="563" spans="1:7" x14ac:dyDescent="0.2">
      <c r="A563" s="43"/>
      <c r="B563" s="43"/>
      <c r="C563" s="43"/>
      <c r="D563" s="43"/>
      <c r="E563" s="43"/>
      <c r="F563" s="43"/>
      <c r="G563" s="43"/>
    </row>
    <row r="564" spans="1:7" x14ac:dyDescent="0.2">
      <c r="A564" s="44"/>
      <c r="B564" s="44"/>
      <c r="C564" s="44"/>
      <c r="D564" s="44"/>
      <c r="E564" s="44"/>
      <c r="F564" s="44"/>
      <c r="G564" s="44"/>
    </row>
    <row r="565" spans="1:7" x14ac:dyDescent="0.2">
      <c r="A565" s="43"/>
      <c r="B565" s="43"/>
      <c r="C565" s="43"/>
      <c r="D565" s="43"/>
      <c r="E565" s="43"/>
      <c r="F565" s="43"/>
      <c r="G565" s="43"/>
    </row>
    <row r="566" spans="1:7" x14ac:dyDescent="0.2">
      <c r="A566" s="44"/>
      <c r="B566" s="44"/>
      <c r="C566" s="44"/>
      <c r="D566" s="44"/>
      <c r="E566" s="44"/>
      <c r="F566" s="44"/>
      <c r="G566" s="44"/>
    </row>
    <row r="567" spans="1:7" x14ac:dyDescent="0.2">
      <c r="A567" s="43"/>
      <c r="B567" s="43"/>
      <c r="C567" s="43"/>
      <c r="D567" s="43"/>
      <c r="E567" s="43"/>
      <c r="F567" s="43"/>
      <c r="G567" s="43"/>
    </row>
    <row r="568" spans="1:7" x14ac:dyDescent="0.2">
      <c r="A568" s="44"/>
      <c r="B568" s="44"/>
      <c r="C568" s="44"/>
      <c r="D568" s="44"/>
      <c r="E568" s="44"/>
      <c r="F568" s="44"/>
      <c r="G568" s="44"/>
    </row>
    <row r="569" spans="1:7" x14ac:dyDescent="0.2">
      <c r="A569" s="43"/>
      <c r="B569" s="43"/>
      <c r="C569" s="43"/>
      <c r="D569" s="43"/>
      <c r="E569" s="43"/>
      <c r="F569" s="43"/>
      <c r="G569" s="43"/>
    </row>
    <row r="570" spans="1:7" x14ac:dyDescent="0.2">
      <c r="A570" s="44"/>
      <c r="B570" s="44"/>
      <c r="C570" s="44"/>
      <c r="D570" s="44"/>
      <c r="E570" s="44"/>
      <c r="F570" s="44"/>
      <c r="G570" s="44"/>
    </row>
    <row r="571" spans="1:7" x14ac:dyDescent="0.2">
      <c r="A571" s="43"/>
      <c r="B571" s="43"/>
      <c r="C571" s="43"/>
      <c r="D571" s="43"/>
      <c r="E571" s="43"/>
      <c r="F571" s="43"/>
      <c r="G571" s="43"/>
    </row>
    <row r="572" spans="1:7" x14ac:dyDescent="0.2">
      <c r="A572" s="44"/>
      <c r="B572" s="44"/>
      <c r="C572" s="44"/>
      <c r="D572" s="44"/>
      <c r="E572" s="44"/>
      <c r="F572" s="44"/>
      <c r="G572" s="44"/>
    </row>
    <row r="573" spans="1:7" x14ac:dyDescent="0.2">
      <c r="A573" s="43"/>
      <c r="B573" s="43"/>
      <c r="C573" s="43"/>
      <c r="D573" s="43"/>
      <c r="E573" s="43"/>
      <c r="F573" s="43"/>
      <c r="G573" s="43"/>
    </row>
    <row r="574" spans="1:7" x14ac:dyDescent="0.2">
      <c r="A574" s="44"/>
      <c r="B574" s="44"/>
      <c r="C574" s="44"/>
      <c r="D574" s="44"/>
      <c r="E574" s="44"/>
      <c r="F574" s="44"/>
      <c r="G574" s="44"/>
    </row>
    <row r="575" spans="1:7" x14ac:dyDescent="0.2">
      <c r="A575" s="43"/>
      <c r="B575" s="43"/>
      <c r="C575" s="43"/>
      <c r="D575" s="43"/>
      <c r="E575" s="43"/>
      <c r="F575" s="43"/>
      <c r="G575" s="43"/>
    </row>
    <row r="576" spans="1:7" x14ac:dyDescent="0.2">
      <c r="A576" s="44"/>
      <c r="B576" s="44"/>
      <c r="C576" s="44"/>
      <c r="D576" s="44"/>
      <c r="E576" s="44"/>
      <c r="F576" s="44"/>
      <c r="G576" s="44"/>
    </row>
    <row r="577" spans="1:7" x14ac:dyDescent="0.2">
      <c r="A577" s="43"/>
      <c r="B577" s="43"/>
      <c r="C577" s="43"/>
      <c r="D577" s="43"/>
      <c r="E577" s="43"/>
      <c r="F577" s="43"/>
      <c r="G577" s="43"/>
    </row>
    <row r="578" spans="1:7" x14ac:dyDescent="0.2">
      <c r="A578" s="44"/>
      <c r="B578" s="44"/>
      <c r="C578" s="44"/>
      <c r="D578" s="44"/>
      <c r="E578" s="44"/>
      <c r="F578" s="44"/>
      <c r="G578" s="44"/>
    </row>
    <row r="579" spans="1:7" x14ac:dyDescent="0.2">
      <c r="A579" s="43"/>
      <c r="B579" s="43"/>
      <c r="C579" s="43"/>
      <c r="D579" s="43"/>
      <c r="E579" s="43"/>
      <c r="F579" s="43"/>
      <c r="G579" s="43"/>
    </row>
    <row r="580" spans="1:7" x14ac:dyDescent="0.2">
      <c r="A580" s="44"/>
      <c r="B580" s="44"/>
      <c r="C580" s="44"/>
      <c r="D580" s="44"/>
      <c r="E580" s="44"/>
      <c r="F580" s="44"/>
      <c r="G580" s="44"/>
    </row>
    <row r="581" spans="1:7" x14ac:dyDescent="0.2">
      <c r="A581" s="43"/>
      <c r="B581" s="43"/>
      <c r="C581" s="43"/>
      <c r="D581" s="43"/>
      <c r="E581" s="43"/>
      <c r="F581" s="43"/>
      <c r="G581" s="43"/>
    </row>
    <row r="582" spans="1:7" x14ac:dyDescent="0.2">
      <c r="A582" s="44"/>
      <c r="B582" s="44"/>
      <c r="C582" s="44"/>
      <c r="D582" s="44"/>
      <c r="E582" s="44"/>
      <c r="F582" s="44"/>
      <c r="G582" s="44"/>
    </row>
    <row r="583" spans="1:7" x14ac:dyDescent="0.2">
      <c r="A583" s="43"/>
      <c r="B583" s="43"/>
      <c r="C583" s="43"/>
      <c r="D583" s="43"/>
      <c r="E583" s="43"/>
      <c r="F583" s="43"/>
      <c r="G583" s="43"/>
    </row>
    <row r="584" spans="1:7" x14ac:dyDescent="0.2">
      <c r="A584" s="44"/>
      <c r="B584" s="44"/>
      <c r="C584" s="44"/>
      <c r="D584" s="44"/>
      <c r="E584" s="44"/>
      <c r="F584" s="44"/>
      <c r="G584" s="44"/>
    </row>
    <row r="585" spans="1:7" x14ac:dyDescent="0.2">
      <c r="A585" s="43"/>
      <c r="B585" s="43"/>
      <c r="C585" s="43"/>
      <c r="D585" s="43"/>
      <c r="E585" s="43"/>
      <c r="F585" s="43"/>
      <c r="G585" s="43"/>
    </row>
    <row r="586" spans="1:7" x14ac:dyDescent="0.2">
      <c r="A586" s="44"/>
      <c r="B586" s="44"/>
      <c r="C586" s="44"/>
      <c r="D586" s="44"/>
      <c r="E586" s="44"/>
      <c r="F586" s="44"/>
      <c r="G586" s="44"/>
    </row>
    <row r="587" spans="1:7" x14ac:dyDescent="0.2">
      <c r="A587" s="43"/>
      <c r="B587" s="43"/>
      <c r="C587" s="43"/>
      <c r="D587" s="43"/>
      <c r="E587" s="43"/>
      <c r="F587" s="43"/>
      <c r="G587" s="43"/>
    </row>
    <row r="588" spans="1:7" x14ac:dyDescent="0.2">
      <c r="A588" s="44"/>
      <c r="B588" s="44"/>
      <c r="C588" s="44"/>
      <c r="D588" s="44"/>
      <c r="E588" s="44"/>
      <c r="F588" s="44"/>
      <c r="G588" s="44"/>
    </row>
    <row r="589" spans="1:7" x14ac:dyDescent="0.2">
      <c r="A589" s="43"/>
      <c r="B589" s="43"/>
      <c r="C589" s="43"/>
      <c r="D589" s="43"/>
      <c r="E589" s="43"/>
      <c r="F589" s="43"/>
      <c r="G589" s="43"/>
    </row>
    <row r="590" spans="1:7" x14ac:dyDescent="0.2">
      <c r="A590" s="44"/>
      <c r="B590" s="44"/>
      <c r="C590" s="44"/>
      <c r="D590" s="44"/>
      <c r="E590" s="44"/>
      <c r="F590" s="44"/>
      <c r="G590" s="44"/>
    </row>
    <row r="591" spans="1:7" x14ac:dyDescent="0.2">
      <c r="A591" s="43"/>
      <c r="B591" s="43"/>
      <c r="C591" s="43"/>
      <c r="D591" s="43"/>
      <c r="E591" s="43"/>
      <c r="F591" s="43"/>
      <c r="G591" s="43"/>
    </row>
    <row r="592" spans="1:7" x14ac:dyDescent="0.2">
      <c r="A592" s="44"/>
      <c r="B592" s="44"/>
      <c r="C592" s="44"/>
      <c r="D592" s="44"/>
      <c r="E592" s="44"/>
      <c r="F592" s="44"/>
      <c r="G592" s="44"/>
    </row>
    <row r="593" spans="1:7" x14ac:dyDescent="0.2">
      <c r="A593" s="43"/>
      <c r="B593" s="43"/>
      <c r="C593" s="43"/>
      <c r="D593" s="43"/>
      <c r="E593" s="43"/>
      <c r="F593" s="43"/>
      <c r="G593" s="43"/>
    </row>
    <row r="594" spans="1:7" x14ac:dyDescent="0.2">
      <c r="A594" s="44"/>
      <c r="B594" s="44"/>
      <c r="C594" s="44"/>
      <c r="D594" s="44"/>
      <c r="E594" s="44"/>
      <c r="F594" s="44"/>
      <c r="G594" s="44"/>
    </row>
    <row r="595" spans="1:7" x14ac:dyDescent="0.2">
      <c r="A595" s="43"/>
      <c r="B595" s="43"/>
      <c r="C595" s="43"/>
      <c r="D595" s="43"/>
      <c r="E595" s="43"/>
      <c r="F595" s="43"/>
      <c r="G595" s="43"/>
    </row>
    <row r="596" spans="1:7" x14ac:dyDescent="0.2">
      <c r="A596" s="44"/>
      <c r="B596" s="44"/>
      <c r="C596" s="44"/>
      <c r="D596" s="44"/>
      <c r="E596" s="44"/>
      <c r="F596" s="44"/>
      <c r="G596" s="44"/>
    </row>
    <row r="597" spans="1:7" x14ac:dyDescent="0.2">
      <c r="A597" s="43"/>
      <c r="B597" s="43"/>
      <c r="C597" s="43"/>
      <c r="D597" s="43"/>
      <c r="E597" s="43"/>
      <c r="F597" s="43"/>
      <c r="G597" s="43"/>
    </row>
    <row r="598" spans="1:7" x14ac:dyDescent="0.2">
      <c r="A598" s="44"/>
      <c r="B598" s="44"/>
      <c r="C598" s="44"/>
      <c r="D598" s="44"/>
      <c r="E598" s="44"/>
      <c r="F598" s="44"/>
      <c r="G598" s="44"/>
    </row>
    <row r="599" spans="1:7" x14ac:dyDescent="0.2">
      <c r="A599" s="43"/>
      <c r="B599" s="43"/>
      <c r="C599" s="43"/>
      <c r="D599" s="43"/>
      <c r="E599" s="43"/>
      <c r="F599" s="43"/>
      <c r="G599" s="43"/>
    </row>
    <row r="600" spans="1:7" x14ac:dyDescent="0.2">
      <c r="A600" s="44"/>
      <c r="B600" s="44"/>
      <c r="C600" s="44"/>
      <c r="D600" s="44"/>
      <c r="E600" s="44"/>
      <c r="F600" s="44"/>
      <c r="G600" s="44"/>
    </row>
    <row r="601" spans="1:7" x14ac:dyDescent="0.2">
      <c r="A601" s="43"/>
      <c r="B601" s="43"/>
      <c r="C601" s="43"/>
      <c r="D601" s="43"/>
      <c r="E601" s="43"/>
      <c r="F601" s="43"/>
      <c r="G601" s="43"/>
    </row>
    <row r="602" spans="1:7" x14ac:dyDescent="0.2">
      <c r="A602" s="44"/>
      <c r="B602" s="44"/>
      <c r="C602" s="44"/>
      <c r="D602" s="44"/>
      <c r="E602" s="44"/>
      <c r="F602" s="44"/>
      <c r="G602" s="44"/>
    </row>
    <row r="603" spans="1:7" x14ac:dyDescent="0.2">
      <c r="A603" s="43"/>
      <c r="B603" s="43"/>
      <c r="C603" s="43"/>
      <c r="D603" s="43"/>
      <c r="E603" s="43"/>
      <c r="F603" s="43"/>
      <c r="G603" s="43"/>
    </row>
    <row r="604" spans="1:7" x14ac:dyDescent="0.2">
      <c r="A604" s="44"/>
      <c r="B604" s="44"/>
      <c r="C604" s="44"/>
      <c r="D604" s="44"/>
      <c r="E604" s="44"/>
      <c r="F604" s="44"/>
      <c r="G604" s="44"/>
    </row>
    <row r="605" spans="1:7" x14ac:dyDescent="0.2">
      <c r="A605" s="43"/>
      <c r="B605" s="43"/>
      <c r="C605" s="43"/>
      <c r="D605" s="43"/>
      <c r="E605" s="43"/>
      <c r="F605" s="43"/>
      <c r="G605" s="43"/>
    </row>
    <row r="606" spans="1:7" x14ac:dyDescent="0.2">
      <c r="A606" s="44"/>
      <c r="B606" s="44"/>
      <c r="C606" s="44"/>
      <c r="D606" s="44"/>
      <c r="E606" s="44"/>
      <c r="F606" s="44"/>
      <c r="G606" s="44"/>
    </row>
    <row r="607" spans="1:7" x14ac:dyDescent="0.2">
      <c r="A607" s="43"/>
      <c r="B607" s="43"/>
      <c r="C607" s="43"/>
      <c r="D607" s="43"/>
      <c r="E607" s="43"/>
      <c r="F607" s="43"/>
      <c r="G607" s="43"/>
    </row>
    <row r="608" spans="1:7" x14ac:dyDescent="0.2">
      <c r="A608" s="44"/>
      <c r="B608" s="44"/>
      <c r="C608" s="44"/>
      <c r="D608" s="44"/>
      <c r="E608" s="44"/>
      <c r="F608" s="44"/>
      <c r="G608" s="44"/>
    </row>
    <row r="609" spans="1:7" x14ac:dyDescent="0.2">
      <c r="A609" s="43"/>
      <c r="B609" s="43"/>
      <c r="C609" s="43"/>
      <c r="D609" s="43"/>
      <c r="E609" s="43"/>
      <c r="F609" s="43"/>
      <c r="G609" s="43"/>
    </row>
    <row r="610" spans="1:7" x14ac:dyDescent="0.2">
      <c r="A610" s="44"/>
      <c r="B610" s="44"/>
      <c r="C610" s="44"/>
      <c r="D610" s="44"/>
      <c r="E610" s="44"/>
      <c r="F610" s="44"/>
      <c r="G610" s="44"/>
    </row>
    <row r="611" spans="1:7" x14ac:dyDescent="0.2">
      <c r="A611" s="43"/>
      <c r="B611" s="43"/>
      <c r="C611" s="43"/>
      <c r="D611" s="43"/>
      <c r="E611" s="43"/>
      <c r="F611" s="43"/>
      <c r="G611" s="43"/>
    </row>
    <row r="612" spans="1:7" x14ac:dyDescent="0.2">
      <c r="A612" s="44"/>
      <c r="B612" s="44"/>
      <c r="C612" s="44"/>
      <c r="D612" s="44"/>
      <c r="E612" s="44"/>
      <c r="F612" s="44"/>
      <c r="G612" s="44"/>
    </row>
    <row r="613" spans="1:7" x14ac:dyDescent="0.2">
      <c r="A613" s="43"/>
      <c r="B613" s="43"/>
      <c r="C613" s="43"/>
      <c r="D613" s="43"/>
      <c r="E613" s="43"/>
      <c r="F613" s="43"/>
      <c r="G613" s="43"/>
    </row>
    <row r="614" spans="1:7" x14ac:dyDescent="0.2">
      <c r="A614" s="44"/>
      <c r="B614" s="44"/>
      <c r="C614" s="44"/>
      <c r="D614" s="44"/>
      <c r="E614" s="44"/>
      <c r="F614" s="44"/>
      <c r="G614" s="44"/>
    </row>
    <row r="615" spans="1:7" x14ac:dyDescent="0.2">
      <c r="A615" s="43"/>
      <c r="B615" s="43"/>
      <c r="C615" s="43"/>
      <c r="D615" s="43"/>
      <c r="E615" s="43"/>
      <c r="F615" s="43"/>
      <c r="G615" s="43"/>
    </row>
    <row r="616" spans="1:7" x14ac:dyDescent="0.2">
      <c r="A616" s="44"/>
      <c r="B616" s="44"/>
      <c r="C616" s="44"/>
      <c r="D616" s="44"/>
      <c r="E616" s="44"/>
      <c r="F616" s="44"/>
      <c r="G616" s="44"/>
    </row>
    <row r="617" spans="1:7" x14ac:dyDescent="0.2">
      <c r="A617" s="43"/>
      <c r="B617" s="43"/>
      <c r="C617" s="43"/>
      <c r="D617" s="43"/>
      <c r="E617" s="43"/>
      <c r="F617" s="43"/>
      <c r="G617" s="43"/>
    </row>
    <row r="618" spans="1:7" x14ac:dyDescent="0.2">
      <c r="A618" s="44"/>
      <c r="B618" s="44"/>
      <c r="C618" s="44"/>
      <c r="D618" s="44"/>
      <c r="E618" s="44"/>
      <c r="F618" s="44"/>
      <c r="G618" s="44"/>
    </row>
    <row r="619" spans="1:7" x14ac:dyDescent="0.2">
      <c r="A619" s="43"/>
      <c r="B619" s="43"/>
      <c r="C619" s="43"/>
      <c r="D619" s="43"/>
      <c r="E619" s="43"/>
      <c r="F619" s="43"/>
      <c r="G619" s="43"/>
    </row>
    <row r="620" spans="1:7" x14ac:dyDescent="0.2">
      <c r="A620" s="44"/>
      <c r="B620" s="44"/>
      <c r="C620" s="44"/>
      <c r="D620" s="44"/>
      <c r="E620" s="44"/>
      <c r="F620" s="44"/>
      <c r="G620" s="44"/>
    </row>
    <row r="621" spans="1:7" x14ac:dyDescent="0.2">
      <c r="A621" s="43"/>
      <c r="B621" s="43"/>
      <c r="C621" s="43"/>
      <c r="D621" s="43"/>
      <c r="E621" s="43"/>
      <c r="F621" s="43"/>
      <c r="G621" s="43"/>
    </row>
    <row r="622" spans="1:7" x14ac:dyDescent="0.2">
      <c r="A622" s="44"/>
      <c r="B622" s="44"/>
      <c r="C622" s="44"/>
      <c r="D622" s="44"/>
      <c r="E622" s="44"/>
      <c r="F622" s="44"/>
      <c r="G622" s="44"/>
    </row>
    <row r="623" spans="1:7" x14ac:dyDescent="0.2">
      <c r="A623" s="43"/>
      <c r="B623" s="43"/>
      <c r="C623" s="43"/>
      <c r="D623" s="43"/>
      <c r="E623" s="43"/>
      <c r="F623" s="43"/>
      <c r="G623" s="43"/>
    </row>
    <row r="624" spans="1:7" x14ac:dyDescent="0.2">
      <c r="A624" s="44"/>
      <c r="B624" s="44"/>
      <c r="C624" s="44"/>
      <c r="D624" s="44"/>
      <c r="E624" s="44"/>
      <c r="F624" s="44"/>
      <c r="G624" s="44"/>
    </row>
    <row r="625" spans="1:7" x14ac:dyDescent="0.2">
      <c r="A625" s="43"/>
      <c r="B625" s="43"/>
      <c r="C625" s="43"/>
      <c r="D625" s="43"/>
      <c r="E625" s="43"/>
      <c r="F625" s="43"/>
      <c r="G625" s="43"/>
    </row>
    <row r="626" spans="1:7" x14ac:dyDescent="0.2">
      <c r="A626" s="44"/>
      <c r="B626" s="44"/>
      <c r="C626" s="44"/>
      <c r="D626" s="44"/>
      <c r="E626" s="44"/>
      <c r="F626" s="44"/>
      <c r="G626" s="44"/>
    </row>
    <row r="627" spans="1:7" x14ac:dyDescent="0.2">
      <c r="A627" s="43"/>
      <c r="B627" s="43"/>
      <c r="C627" s="43"/>
      <c r="D627" s="43"/>
      <c r="E627" s="43"/>
      <c r="F627" s="43"/>
      <c r="G627" s="43"/>
    </row>
    <row r="628" spans="1:7" x14ac:dyDescent="0.2">
      <c r="A628" s="44"/>
      <c r="B628" s="44"/>
      <c r="C628" s="44"/>
      <c r="D628" s="44"/>
      <c r="E628" s="44"/>
      <c r="F628" s="44"/>
      <c r="G628" s="44"/>
    </row>
    <row r="629" spans="1:7" x14ac:dyDescent="0.2">
      <c r="A629" s="43"/>
      <c r="B629" s="43"/>
      <c r="C629" s="43"/>
      <c r="D629" s="43"/>
      <c r="E629" s="43"/>
      <c r="F629" s="43"/>
      <c r="G629" s="43"/>
    </row>
    <row r="630" spans="1:7" x14ac:dyDescent="0.2">
      <c r="A630" s="44"/>
      <c r="B630" s="44"/>
      <c r="C630" s="44"/>
      <c r="D630" s="44"/>
      <c r="E630" s="44"/>
      <c r="F630" s="44"/>
      <c r="G630" s="44"/>
    </row>
    <row r="631" spans="1:7" x14ac:dyDescent="0.2">
      <c r="A631" s="43"/>
      <c r="B631" s="43"/>
      <c r="C631" s="43"/>
      <c r="D631" s="43"/>
      <c r="E631" s="43"/>
      <c r="F631" s="43"/>
      <c r="G631" s="43"/>
    </row>
    <row r="632" spans="1:7" x14ac:dyDescent="0.2">
      <c r="A632" s="44"/>
      <c r="B632" s="44"/>
      <c r="C632" s="44"/>
      <c r="D632" s="44"/>
      <c r="E632" s="44"/>
      <c r="F632" s="44"/>
      <c r="G632" s="44"/>
    </row>
    <row r="633" spans="1:7" x14ac:dyDescent="0.2">
      <c r="A633" s="43"/>
      <c r="B633" s="43"/>
      <c r="C633" s="43"/>
      <c r="D633" s="43"/>
      <c r="E633" s="43"/>
      <c r="F633" s="43"/>
      <c r="G633" s="43"/>
    </row>
    <row r="634" spans="1:7" x14ac:dyDescent="0.2">
      <c r="A634" s="44"/>
      <c r="B634" s="44"/>
      <c r="C634" s="44"/>
      <c r="D634" s="44"/>
      <c r="E634" s="44"/>
      <c r="F634" s="44"/>
      <c r="G634" s="44"/>
    </row>
    <row r="635" spans="1:7" x14ac:dyDescent="0.2">
      <c r="A635" s="43"/>
      <c r="B635" s="43"/>
      <c r="C635" s="43"/>
      <c r="D635" s="43"/>
      <c r="E635" s="43"/>
      <c r="F635" s="43"/>
      <c r="G635" s="43"/>
    </row>
    <row r="636" spans="1:7" x14ac:dyDescent="0.2">
      <c r="A636" s="44"/>
      <c r="B636" s="44"/>
      <c r="C636" s="44"/>
      <c r="D636" s="44"/>
      <c r="E636" s="44"/>
      <c r="F636" s="44"/>
      <c r="G636" s="44"/>
    </row>
    <row r="637" spans="1:7" x14ac:dyDescent="0.2">
      <c r="A637" s="43"/>
      <c r="B637" s="43"/>
      <c r="C637" s="43"/>
      <c r="D637" s="43"/>
      <c r="E637" s="43"/>
      <c r="F637" s="43"/>
      <c r="G637" s="43"/>
    </row>
    <row r="638" spans="1:7" x14ac:dyDescent="0.2">
      <c r="A638" s="44"/>
      <c r="B638" s="44"/>
      <c r="C638" s="44"/>
      <c r="D638" s="44"/>
      <c r="E638" s="44"/>
      <c r="F638" s="44"/>
      <c r="G638" s="44"/>
    </row>
    <row r="639" spans="1:7" x14ac:dyDescent="0.2">
      <c r="A639" s="43"/>
      <c r="B639" s="43"/>
      <c r="C639" s="43"/>
      <c r="D639" s="43"/>
      <c r="E639" s="43"/>
      <c r="F639" s="43"/>
      <c r="G639" s="43"/>
    </row>
    <row r="640" spans="1:7" x14ac:dyDescent="0.2">
      <c r="A640" s="44"/>
      <c r="B640" s="44"/>
      <c r="C640" s="44"/>
      <c r="D640" s="44"/>
      <c r="E640" s="44"/>
      <c r="F640" s="44"/>
      <c r="G640" s="44"/>
    </row>
    <row r="641" spans="1:7" x14ac:dyDescent="0.2">
      <c r="A641" s="43"/>
      <c r="B641" s="43"/>
      <c r="C641" s="43"/>
      <c r="D641" s="43"/>
      <c r="E641" s="43"/>
      <c r="F641" s="43"/>
      <c r="G641" s="43"/>
    </row>
    <row r="642" spans="1:7" x14ac:dyDescent="0.2">
      <c r="A642" s="44"/>
      <c r="B642" s="44"/>
      <c r="C642" s="44"/>
      <c r="D642" s="44"/>
      <c r="E642" s="44"/>
      <c r="F642" s="44"/>
      <c r="G642" s="44"/>
    </row>
    <row r="643" spans="1:7" x14ac:dyDescent="0.2">
      <c r="A643" s="43"/>
      <c r="B643" s="43"/>
      <c r="C643" s="43"/>
      <c r="D643" s="43"/>
      <c r="E643" s="43"/>
      <c r="F643" s="43"/>
      <c r="G643" s="43"/>
    </row>
    <row r="644" spans="1:7" x14ac:dyDescent="0.2">
      <c r="A644" s="44"/>
      <c r="B644" s="44"/>
      <c r="C644" s="44"/>
      <c r="D644" s="44"/>
      <c r="E644" s="44"/>
      <c r="F644" s="44"/>
      <c r="G644" s="44"/>
    </row>
    <row r="645" spans="1:7" x14ac:dyDescent="0.2">
      <c r="A645" s="43"/>
      <c r="B645" s="43"/>
      <c r="C645" s="43"/>
      <c r="D645" s="43"/>
      <c r="E645" s="43"/>
      <c r="F645" s="43"/>
      <c r="G645" s="43"/>
    </row>
    <row r="646" spans="1:7" x14ac:dyDescent="0.2">
      <c r="A646" s="44"/>
      <c r="B646" s="44"/>
      <c r="C646" s="44"/>
      <c r="D646" s="44"/>
      <c r="E646" s="44"/>
      <c r="F646" s="44"/>
      <c r="G646" s="44"/>
    </row>
    <row r="647" spans="1:7" x14ac:dyDescent="0.2">
      <c r="A647" s="43"/>
      <c r="B647" s="43"/>
      <c r="C647" s="43"/>
      <c r="D647" s="43"/>
      <c r="E647" s="43"/>
      <c r="F647" s="43"/>
      <c r="G647" s="43"/>
    </row>
    <row r="648" spans="1:7" x14ac:dyDescent="0.2">
      <c r="A648" s="44"/>
      <c r="B648" s="44"/>
      <c r="C648" s="44"/>
      <c r="D648" s="44"/>
      <c r="E648" s="44"/>
      <c r="F648" s="44"/>
      <c r="G648" s="44"/>
    </row>
    <row r="649" spans="1:7" x14ac:dyDescent="0.2">
      <c r="A649" s="43"/>
      <c r="B649" s="43"/>
      <c r="C649" s="43"/>
      <c r="D649" s="43"/>
      <c r="E649" s="43"/>
      <c r="F649" s="43"/>
      <c r="G649" s="43"/>
    </row>
    <row r="650" spans="1:7" x14ac:dyDescent="0.2">
      <c r="A650" s="44"/>
      <c r="B650" s="44"/>
      <c r="C650" s="44"/>
      <c r="D650" s="44"/>
      <c r="E650" s="44"/>
      <c r="F650" s="44"/>
      <c r="G650" s="44"/>
    </row>
    <row r="651" spans="1:7" x14ac:dyDescent="0.2">
      <c r="A651" s="43"/>
      <c r="B651" s="43"/>
      <c r="C651" s="43"/>
      <c r="D651" s="43"/>
      <c r="E651" s="43"/>
      <c r="F651" s="43"/>
      <c r="G651" s="43"/>
    </row>
    <row r="652" spans="1:7" x14ac:dyDescent="0.2">
      <c r="A652" s="44"/>
      <c r="B652" s="44"/>
      <c r="C652" s="44"/>
      <c r="D652" s="44"/>
      <c r="E652" s="44"/>
      <c r="F652" s="44"/>
      <c r="G652" s="44"/>
    </row>
    <row r="653" spans="1:7" x14ac:dyDescent="0.2">
      <c r="A653" s="43"/>
      <c r="B653" s="43"/>
      <c r="C653" s="43"/>
      <c r="D653" s="43"/>
      <c r="E653" s="43"/>
      <c r="F653" s="43"/>
      <c r="G653" s="43"/>
    </row>
    <row r="654" spans="1:7" x14ac:dyDescent="0.2">
      <c r="A654" s="44"/>
      <c r="B654" s="44"/>
      <c r="C654" s="44"/>
      <c r="D654" s="44"/>
      <c r="E654" s="44"/>
      <c r="F654" s="44"/>
      <c r="G654" s="44"/>
    </row>
    <row r="655" spans="1:7" x14ac:dyDescent="0.2">
      <c r="A655" s="43"/>
      <c r="B655" s="43"/>
      <c r="C655" s="43"/>
      <c r="D655" s="43"/>
      <c r="E655" s="43"/>
      <c r="F655" s="43"/>
      <c r="G655" s="43"/>
    </row>
    <row r="656" spans="1:7" x14ac:dyDescent="0.2">
      <c r="A656" s="44"/>
      <c r="B656" s="44"/>
      <c r="C656" s="44"/>
      <c r="D656" s="44"/>
      <c r="E656" s="44"/>
      <c r="F656" s="44"/>
      <c r="G656" s="44"/>
    </row>
    <row r="657" spans="1:7" x14ac:dyDescent="0.2">
      <c r="A657" s="43"/>
      <c r="B657" s="43"/>
      <c r="C657" s="43"/>
      <c r="D657" s="43"/>
      <c r="E657" s="43"/>
      <c r="F657" s="43"/>
      <c r="G657" s="43"/>
    </row>
    <row r="658" spans="1:7" x14ac:dyDescent="0.2">
      <c r="A658" s="44"/>
      <c r="B658" s="44"/>
      <c r="C658" s="44"/>
      <c r="D658" s="44"/>
      <c r="E658" s="44"/>
      <c r="F658" s="44"/>
      <c r="G658" s="44"/>
    </row>
    <row r="659" spans="1:7" x14ac:dyDescent="0.2">
      <c r="A659" s="43"/>
      <c r="B659" s="43"/>
      <c r="C659" s="43"/>
      <c r="D659" s="43"/>
      <c r="E659" s="43"/>
      <c r="F659" s="43"/>
      <c r="G659" s="43"/>
    </row>
    <row r="660" spans="1:7" x14ac:dyDescent="0.2">
      <c r="A660" s="44"/>
      <c r="B660" s="44"/>
      <c r="C660" s="44"/>
      <c r="D660" s="44"/>
      <c r="E660" s="44"/>
      <c r="F660" s="44"/>
      <c r="G660" s="44"/>
    </row>
    <row r="661" spans="1:7" x14ac:dyDescent="0.2">
      <c r="A661" s="43"/>
      <c r="B661" s="43"/>
      <c r="C661" s="43"/>
      <c r="D661" s="43"/>
      <c r="E661" s="43"/>
      <c r="F661" s="43"/>
      <c r="G661" s="43"/>
    </row>
    <row r="662" spans="1:7" x14ac:dyDescent="0.2">
      <c r="A662" s="44"/>
      <c r="B662" s="44"/>
      <c r="C662" s="44"/>
      <c r="D662" s="44"/>
      <c r="E662" s="44"/>
      <c r="F662" s="44"/>
      <c r="G662" s="44"/>
    </row>
    <row r="663" spans="1:7" x14ac:dyDescent="0.2">
      <c r="A663" s="43"/>
      <c r="B663" s="43"/>
      <c r="C663" s="43"/>
      <c r="D663" s="43"/>
      <c r="E663" s="43"/>
      <c r="F663" s="43"/>
      <c r="G663" s="43"/>
    </row>
    <row r="664" spans="1:7" x14ac:dyDescent="0.2">
      <c r="A664" s="44"/>
      <c r="B664" s="44"/>
      <c r="C664" s="44"/>
      <c r="D664" s="44"/>
      <c r="E664" s="44"/>
      <c r="F664" s="44"/>
      <c r="G664" s="44"/>
    </row>
    <row r="665" spans="1:7" x14ac:dyDescent="0.2">
      <c r="A665" s="43"/>
      <c r="B665" s="43"/>
      <c r="C665" s="43"/>
      <c r="D665" s="43"/>
      <c r="E665" s="43"/>
      <c r="F665" s="43"/>
      <c r="G665" s="43"/>
    </row>
    <row r="666" spans="1:7" x14ac:dyDescent="0.2">
      <c r="A666" s="44"/>
      <c r="B666" s="44"/>
      <c r="C666" s="44"/>
      <c r="D666" s="44"/>
      <c r="E666" s="44"/>
      <c r="F666" s="44"/>
      <c r="G666" s="44"/>
    </row>
    <row r="667" spans="1:7" x14ac:dyDescent="0.2">
      <c r="A667" s="43"/>
      <c r="B667" s="43"/>
      <c r="C667" s="43"/>
      <c r="D667" s="43"/>
      <c r="E667" s="43"/>
      <c r="F667" s="43"/>
      <c r="G667" s="43"/>
    </row>
    <row r="668" spans="1:7" x14ac:dyDescent="0.2">
      <c r="A668" s="44"/>
      <c r="B668" s="44"/>
      <c r="C668" s="44"/>
      <c r="D668" s="44"/>
      <c r="E668" s="44"/>
      <c r="F668" s="44"/>
      <c r="G668" s="44"/>
    </row>
    <row r="669" spans="1:7" x14ac:dyDescent="0.2">
      <c r="A669" s="43"/>
      <c r="B669" s="43"/>
      <c r="C669" s="43"/>
      <c r="D669" s="43"/>
      <c r="E669" s="43"/>
      <c r="F669" s="43"/>
      <c r="G669" s="43"/>
    </row>
    <row r="670" spans="1:7" x14ac:dyDescent="0.2">
      <c r="A670" s="44"/>
      <c r="B670" s="44"/>
      <c r="C670" s="44"/>
      <c r="D670" s="44"/>
      <c r="E670" s="44"/>
      <c r="F670" s="44"/>
      <c r="G670" s="44"/>
    </row>
    <row r="671" spans="1:7" x14ac:dyDescent="0.2">
      <c r="A671" s="43"/>
      <c r="B671" s="43"/>
      <c r="C671" s="43"/>
      <c r="D671" s="43"/>
      <c r="E671" s="43"/>
      <c r="F671" s="43"/>
      <c r="G671" s="43"/>
    </row>
    <row r="672" spans="1:7" x14ac:dyDescent="0.2">
      <c r="A672" s="44"/>
      <c r="B672" s="44"/>
      <c r="C672" s="44"/>
      <c r="D672" s="44"/>
      <c r="E672" s="44"/>
      <c r="F672" s="44"/>
      <c r="G672" s="44"/>
    </row>
    <row r="673" spans="1:7" x14ac:dyDescent="0.2">
      <c r="A673" s="43"/>
      <c r="B673" s="43"/>
      <c r="C673" s="43"/>
      <c r="D673" s="43"/>
      <c r="E673" s="43"/>
      <c r="F673" s="43"/>
      <c r="G673" s="43"/>
    </row>
    <row r="674" spans="1:7" x14ac:dyDescent="0.2">
      <c r="A674" s="44"/>
      <c r="B674" s="44"/>
      <c r="C674" s="44"/>
      <c r="D674" s="44"/>
      <c r="E674" s="44"/>
      <c r="F674" s="44"/>
      <c r="G674" s="44"/>
    </row>
    <row r="675" spans="1:7" x14ac:dyDescent="0.2">
      <c r="A675" s="43"/>
      <c r="B675" s="43"/>
      <c r="C675" s="43"/>
      <c r="D675" s="43"/>
      <c r="E675" s="43"/>
      <c r="F675" s="43"/>
      <c r="G675" s="43"/>
    </row>
    <row r="676" spans="1:7" x14ac:dyDescent="0.2">
      <c r="A676" s="44"/>
      <c r="B676" s="44"/>
      <c r="C676" s="44"/>
      <c r="D676" s="44"/>
      <c r="E676" s="44"/>
      <c r="F676" s="44"/>
      <c r="G676" s="44"/>
    </row>
    <row r="677" spans="1:7" x14ac:dyDescent="0.2">
      <c r="A677" s="43"/>
      <c r="B677" s="43"/>
      <c r="C677" s="43"/>
      <c r="D677" s="43"/>
      <c r="E677" s="43"/>
      <c r="F677" s="43"/>
      <c r="G677" s="43"/>
    </row>
    <row r="678" spans="1:7" x14ac:dyDescent="0.2">
      <c r="A678" s="44"/>
      <c r="B678" s="44"/>
      <c r="C678" s="44"/>
      <c r="D678" s="44"/>
      <c r="E678" s="44"/>
      <c r="F678" s="44"/>
      <c r="G678" s="44"/>
    </row>
    <row r="679" spans="1:7" x14ac:dyDescent="0.2">
      <c r="A679" s="43"/>
      <c r="B679" s="43"/>
      <c r="C679" s="43"/>
      <c r="D679" s="43"/>
      <c r="E679" s="43"/>
      <c r="F679" s="43"/>
      <c r="G679" s="43"/>
    </row>
    <row r="680" spans="1:7" x14ac:dyDescent="0.2">
      <c r="A680" s="44"/>
      <c r="B680" s="44"/>
      <c r="C680" s="44"/>
      <c r="D680" s="44"/>
      <c r="E680" s="44"/>
      <c r="F680" s="44"/>
      <c r="G680" s="44"/>
    </row>
    <row r="681" spans="1:7" x14ac:dyDescent="0.2">
      <c r="A681" s="43"/>
      <c r="B681" s="43"/>
      <c r="C681" s="43"/>
      <c r="D681" s="43"/>
      <c r="E681" s="43"/>
      <c r="F681" s="43"/>
      <c r="G681" s="43"/>
    </row>
    <row r="682" spans="1:7" x14ac:dyDescent="0.2">
      <c r="A682" s="44"/>
      <c r="B682" s="44"/>
      <c r="C682" s="44"/>
      <c r="D682" s="44"/>
      <c r="E682" s="44"/>
      <c r="F682" s="44"/>
      <c r="G682" s="44"/>
    </row>
    <row r="683" spans="1:7" x14ac:dyDescent="0.2">
      <c r="A683" s="43"/>
      <c r="B683" s="43"/>
      <c r="C683" s="43"/>
      <c r="D683" s="43"/>
      <c r="E683" s="43"/>
      <c r="F683" s="43"/>
      <c r="G683" s="43"/>
    </row>
    <row r="684" spans="1:7" x14ac:dyDescent="0.2">
      <c r="A684" s="44"/>
      <c r="B684" s="44"/>
      <c r="C684" s="44"/>
      <c r="D684" s="44"/>
      <c r="E684" s="44"/>
      <c r="F684" s="44"/>
      <c r="G684" s="44"/>
    </row>
    <row r="685" spans="1:7" x14ac:dyDescent="0.2">
      <c r="A685" s="43"/>
      <c r="B685" s="43"/>
      <c r="C685" s="43"/>
      <c r="D685" s="43"/>
      <c r="E685" s="43"/>
      <c r="F685" s="43"/>
      <c r="G685" s="43"/>
    </row>
    <row r="686" spans="1:7" x14ac:dyDescent="0.2">
      <c r="A686" s="44"/>
      <c r="B686" s="44"/>
      <c r="C686" s="44"/>
      <c r="D686" s="44"/>
      <c r="E686" s="44"/>
      <c r="F686" s="44"/>
      <c r="G686" s="44"/>
    </row>
    <row r="687" spans="1:7" x14ac:dyDescent="0.2">
      <c r="A687" s="43"/>
      <c r="B687" s="43"/>
      <c r="C687" s="43"/>
      <c r="D687" s="43"/>
      <c r="E687" s="43"/>
      <c r="F687" s="43"/>
      <c r="G687" s="43"/>
    </row>
    <row r="688" spans="1:7" x14ac:dyDescent="0.2">
      <c r="A688" s="44"/>
      <c r="B688" s="44"/>
      <c r="C688" s="44"/>
      <c r="D688" s="44"/>
      <c r="E688" s="44"/>
      <c r="F688" s="44"/>
      <c r="G688" s="44"/>
    </row>
    <row r="689" spans="1:7" x14ac:dyDescent="0.2">
      <c r="A689" s="43"/>
      <c r="B689" s="43"/>
      <c r="C689" s="43"/>
      <c r="D689" s="43"/>
      <c r="E689" s="43"/>
      <c r="F689" s="43"/>
      <c r="G689" s="43"/>
    </row>
    <row r="690" spans="1:7" x14ac:dyDescent="0.2">
      <c r="A690" s="44"/>
      <c r="B690" s="44"/>
      <c r="C690" s="44"/>
      <c r="D690" s="44"/>
      <c r="E690" s="44"/>
      <c r="F690" s="44"/>
      <c r="G690" s="44"/>
    </row>
    <row r="691" spans="1:7" x14ac:dyDescent="0.2">
      <c r="A691" s="43"/>
      <c r="B691" s="43"/>
      <c r="C691" s="43"/>
      <c r="D691" s="43"/>
      <c r="E691" s="43"/>
      <c r="F691" s="43"/>
      <c r="G691" s="43"/>
    </row>
    <row r="692" spans="1:7" x14ac:dyDescent="0.2">
      <c r="A692" s="44"/>
      <c r="B692" s="44"/>
      <c r="C692" s="44"/>
      <c r="D692" s="44"/>
      <c r="E692" s="44"/>
      <c r="F692" s="44"/>
      <c r="G692" s="44"/>
    </row>
    <row r="693" spans="1:7" x14ac:dyDescent="0.2">
      <c r="A693" s="43"/>
      <c r="B693" s="43"/>
      <c r="C693" s="43"/>
      <c r="D693" s="43"/>
      <c r="E693" s="43"/>
      <c r="F693" s="43"/>
      <c r="G693" s="43"/>
    </row>
    <row r="694" spans="1:7" x14ac:dyDescent="0.2">
      <c r="A694" s="44"/>
      <c r="B694" s="44"/>
      <c r="C694" s="44"/>
      <c r="D694" s="44"/>
      <c r="E694" s="44"/>
      <c r="F694" s="44"/>
      <c r="G694" s="44"/>
    </row>
    <row r="695" spans="1:7" x14ac:dyDescent="0.2">
      <c r="A695" s="43"/>
      <c r="B695" s="43"/>
      <c r="C695" s="43"/>
      <c r="D695" s="43"/>
      <c r="E695" s="43"/>
      <c r="F695" s="43"/>
      <c r="G695" s="43"/>
    </row>
    <row r="696" spans="1:7" x14ac:dyDescent="0.2">
      <c r="A696" s="44"/>
      <c r="B696" s="44"/>
      <c r="C696" s="44"/>
      <c r="D696" s="44"/>
      <c r="E696" s="44"/>
      <c r="F696" s="44"/>
      <c r="G696" s="44"/>
    </row>
    <row r="697" spans="1:7" x14ac:dyDescent="0.2">
      <c r="A697" s="43"/>
      <c r="B697" s="43"/>
      <c r="C697" s="43"/>
      <c r="D697" s="43"/>
      <c r="E697" s="43"/>
      <c r="F697" s="43"/>
      <c r="G697" s="43"/>
    </row>
    <row r="698" spans="1:7" x14ac:dyDescent="0.2">
      <c r="A698" s="44"/>
      <c r="B698" s="44"/>
      <c r="C698" s="44"/>
      <c r="D698" s="44"/>
      <c r="E698" s="44"/>
      <c r="F698" s="44"/>
      <c r="G698" s="44"/>
    </row>
    <row r="699" spans="1:7" x14ac:dyDescent="0.2">
      <c r="A699" s="43"/>
      <c r="B699" s="43"/>
      <c r="C699" s="43"/>
      <c r="D699" s="43"/>
      <c r="E699" s="43"/>
      <c r="F699" s="43"/>
      <c r="G699" s="43"/>
    </row>
    <row r="700" spans="1:7" x14ac:dyDescent="0.2">
      <c r="A700" s="44"/>
      <c r="B700" s="44"/>
      <c r="C700" s="44"/>
      <c r="D700" s="44"/>
      <c r="E700" s="44"/>
      <c r="F700" s="44"/>
      <c r="G700" s="44"/>
    </row>
    <row r="701" spans="1:7" x14ac:dyDescent="0.2">
      <c r="A701" s="43"/>
      <c r="B701" s="43"/>
      <c r="C701" s="43"/>
      <c r="D701" s="43"/>
      <c r="E701" s="43"/>
      <c r="F701" s="43"/>
      <c r="G701" s="43"/>
    </row>
    <row r="702" spans="1:7" x14ac:dyDescent="0.2">
      <c r="A702" s="44"/>
      <c r="B702" s="44"/>
      <c r="C702" s="44"/>
      <c r="D702" s="44"/>
      <c r="E702" s="44"/>
      <c r="F702" s="44"/>
      <c r="G702" s="44"/>
    </row>
    <row r="703" spans="1:7" x14ac:dyDescent="0.2">
      <c r="A703" s="43"/>
      <c r="B703" s="43"/>
      <c r="C703" s="43"/>
      <c r="D703" s="43"/>
      <c r="E703" s="43"/>
      <c r="F703" s="43"/>
      <c r="G703" s="43"/>
    </row>
    <row r="704" spans="1:7" x14ac:dyDescent="0.2">
      <c r="A704" s="44"/>
      <c r="B704" s="44"/>
      <c r="C704" s="44"/>
      <c r="D704" s="44"/>
      <c r="E704" s="44"/>
      <c r="F704" s="44"/>
      <c r="G704" s="44"/>
    </row>
    <row r="705" spans="1:7" x14ac:dyDescent="0.2">
      <c r="A705" s="43"/>
      <c r="B705" s="43"/>
      <c r="C705" s="43"/>
      <c r="D705" s="43"/>
      <c r="E705" s="43"/>
      <c r="F705" s="43"/>
      <c r="G705" s="43"/>
    </row>
    <row r="706" spans="1:7" x14ac:dyDescent="0.2">
      <c r="A706" s="44"/>
      <c r="B706" s="44"/>
      <c r="C706" s="44"/>
      <c r="D706" s="44"/>
      <c r="E706" s="44"/>
      <c r="F706" s="44"/>
      <c r="G706" s="44"/>
    </row>
    <row r="707" spans="1:7" x14ac:dyDescent="0.2">
      <c r="A707" s="43"/>
      <c r="B707" s="43"/>
      <c r="C707" s="43"/>
      <c r="D707" s="43"/>
      <c r="E707" s="43"/>
      <c r="F707" s="43"/>
      <c r="G707" s="43"/>
    </row>
    <row r="708" spans="1:7" x14ac:dyDescent="0.2">
      <c r="A708" s="44"/>
      <c r="B708" s="44"/>
      <c r="C708" s="44"/>
      <c r="D708" s="44"/>
      <c r="E708" s="44"/>
      <c r="F708" s="44"/>
      <c r="G708" s="44"/>
    </row>
    <row r="709" spans="1:7" x14ac:dyDescent="0.2">
      <c r="A709" s="43"/>
      <c r="B709" s="43"/>
      <c r="C709" s="43"/>
      <c r="D709" s="43"/>
      <c r="E709" s="43"/>
      <c r="F709" s="43"/>
      <c r="G709" s="43"/>
    </row>
    <row r="710" spans="1:7" x14ac:dyDescent="0.2">
      <c r="A710" s="44"/>
      <c r="B710" s="44"/>
      <c r="C710" s="44"/>
      <c r="D710" s="44"/>
      <c r="E710" s="44"/>
      <c r="F710" s="44"/>
      <c r="G710" s="44"/>
    </row>
    <row r="711" spans="1:7" x14ac:dyDescent="0.2">
      <c r="A711" s="43"/>
      <c r="B711" s="43"/>
      <c r="C711" s="43"/>
      <c r="D711" s="43"/>
      <c r="E711" s="43"/>
      <c r="F711" s="43"/>
      <c r="G711" s="43"/>
    </row>
    <row r="712" spans="1:7" x14ac:dyDescent="0.2">
      <c r="A712" s="44"/>
      <c r="B712" s="44"/>
      <c r="C712" s="44"/>
      <c r="D712" s="44"/>
      <c r="E712" s="44"/>
      <c r="F712" s="44"/>
      <c r="G712" s="44"/>
    </row>
    <row r="713" spans="1:7" x14ac:dyDescent="0.2">
      <c r="A713" s="43"/>
      <c r="B713" s="43"/>
      <c r="C713" s="43"/>
      <c r="D713" s="43"/>
      <c r="E713" s="43"/>
      <c r="F713" s="43"/>
      <c r="G713" s="43"/>
    </row>
    <row r="714" spans="1:7" x14ac:dyDescent="0.2">
      <c r="A714" s="44"/>
      <c r="B714" s="44"/>
      <c r="C714" s="44"/>
      <c r="D714" s="44"/>
      <c r="E714" s="44"/>
      <c r="F714" s="44"/>
      <c r="G714" s="44"/>
    </row>
    <row r="715" spans="1:7" x14ac:dyDescent="0.2">
      <c r="A715" s="43"/>
      <c r="B715" s="43"/>
      <c r="C715" s="43"/>
      <c r="D715" s="43"/>
      <c r="E715" s="43"/>
      <c r="F715" s="43"/>
      <c r="G715" s="43"/>
    </row>
    <row r="716" spans="1:7" x14ac:dyDescent="0.2">
      <c r="A716" s="44"/>
      <c r="B716" s="44"/>
      <c r="C716" s="44"/>
      <c r="D716" s="44"/>
      <c r="E716" s="44"/>
      <c r="F716" s="44"/>
      <c r="G716" s="44"/>
    </row>
    <row r="717" spans="1:7" x14ac:dyDescent="0.2">
      <c r="A717" s="43"/>
      <c r="B717" s="43"/>
      <c r="C717" s="43"/>
      <c r="D717" s="43"/>
      <c r="E717" s="43"/>
      <c r="F717" s="43"/>
      <c r="G717" s="43"/>
    </row>
    <row r="718" spans="1:7" x14ac:dyDescent="0.2">
      <c r="A718" s="44"/>
      <c r="B718" s="44"/>
      <c r="C718" s="44"/>
      <c r="D718" s="44"/>
      <c r="E718" s="44"/>
      <c r="F718" s="44"/>
      <c r="G718" s="44"/>
    </row>
    <row r="719" spans="1:7" x14ac:dyDescent="0.2">
      <c r="A719" s="43"/>
      <c r="B719" s="43"/>
      <c r="C719" s="43"/>
      <c r="D719" s="43"/>
      <c r="E719" s="43"/>
      <c r="F719" s="43"/>
      <c r="G719" s="43"/>
    </row>
    <row r="720" spans="1:7" x14ac:dyDescent="0.2">
      <c r="A720" s="44"/>
      <c r="B720" s="44"/>
      <c r="C720" s="44"/>
      <c r="D720" s="44"/>
      <c r="E720" s="44"/>
      <c r="F720" s="44"/>
      <c r="G720" s="44"/>
    </row>
    <row r="721" spans="1:7" x14ac:dyDescent="0.2">
      <c r="A721" s="43"/>
      <c r="B721" s="43"/>
      <c r="C721" s="43"/>
      <c r="D721" s="43"/>
      <c r="E721" s="43"/>
      <c r="F721" s="43"/>
      <c r="G721" s="43"/>
    </row>
    <row r="722" spans="1:7" x14ac:dyDescent="0.2">
      <c r="A722" s="44"/>
      <c r="B722" s="44"/>
      <c r="C722" s="44"/>
      <c r="D722" s="44"/>
      <c r="E722" s="44"/>
      <c r="F722" s="44"/>
      <c r="G722" s="44"/>
    </row>
    <row r="723" spans="1:7" x14ac:dyDescent="0.2">
      <c r="A723" s="43"/>
      <c r="B723" s="43"/>
      <c r="C723" s="43"/>
      <c r="D723" s="43"/>
      <c r="E723" s="43"/>
      <c r="F723" s="43"/>
      <c r="G723" s="43"/>
    </row>
    <row r="724" spans="1:7" x14ac:dyDescent="0.2">
      <c r="A724" s="44"/>
      <c r="B724" s="44"/>
      <c r="C724" s="44"/>
      <c r="D724" s="44"/>
      <c r="E724" s="44"/>
      <c r="F724" s="44"/>
      <c r="G724" s="44"/>
    </row>
    <row r="725" spans="1:7" x14ac:dyDescent="0.2">
      <c r="A725" s="43"/>
      <c r="B725" s="43"/>
      <c r="C725" s="43"/>
      <c r="D725" s="43"/>
      <c r="E725" s="43"/>
      <c r="F725" s="43"/>
      <c r="G725" s="43"/>
    </row>
    <row r="726" spans="1:7" x14ac:dyDescent="0.2">
      <c r="A726" s="44"/>
      <c r="B726" s="44"/>
      <c r="C726" s="44"/>
      <c r="D726" s="44"/>
      <c r="E726" s="44"/>
      <c r="F726" s="44"/>
      <c r="G726" s="44"/>
    </row>
    <row r="727" spans="1:7" x14ac:dyDescent="0.2">
      <c r="A727" s="43"/>
      <c r="B727" s="43"/>
      <c r="C727" s="43"/>
      <c r="D727" s="43"/>
      <c r="E727" s="43"/>
      <c r="F727" s="43"/>
      <c r="G727" s="43"/>
    </row>
    <row r="728" spans="1:7" x14ac:dyDescent="0.2">
      <c r="A728" s="44"/>
      <c r="B728" s="44"/>
      <c r="C728" s="44"/>
      <c r="D728" s="44"/>
      <c r="E728" s="44"/>
      <c r="F728" s="44"/>
      <c r="G728" s="44"/>
    </row>
    <row r="729" spans="1:7" x14ac:dyDescent="0.2">
      <c r="A729" s="43"/>
      <c r="B729" s="43"/>
      <c r="C729" s="43"/>
      <c r="D729" s="43"/>
      <c r="E729" s="43"/>
      <c r="F729" s="43"/>
      <c r="G729" s="43"/>
    </row>
    <row r="730" spans="1:7" x14ac:dyDescent="0.2">
      <c r="A730" s="44"/>
      <c r="B730" s="44"/>
      <c r="C730" s="44"/>
      <c r="D730" s="44"/>
      <c r="E730" s="44"/>
      <c r="F730" s="44"/>
      <c r="G730" s="44"/>
    </row>
    <row r="731" spans="1:7" x14ac:dyDescent="0.2">
      <c r="A731" s="43"/>
      <c r="B731" s="43"/>
      <c r="C731" s="43"/>
      <c r="D731" s="43"/>
      <c r="E731" s="43"/>
      <c r="F731" s="43"/>
      <c r="G731" s="43"/>
    </row>
    <row r="732" spans="1:7" x14ac:dyDescent="0.2">
      <c r="A732" s="44"/>
      <c r="B732" s="44"/>
      <c r="C732" s="44"/>
      <c r="D732" s="44"/>
      <c r="E732" s="44"/>
      <c r="F732" s="44"/>
      <c r="G732" s="44"/>
    </row>
    <row r="733" spans="1:7" x14ac:dyDescent="0.2">
      <c r="A733" s="43"/>
      <c r="B733" s="43"/>
      <c r="C733" s="43"/>
      <c r="D733" s="43"/>
      <c r="E733" s="43"/>
      <c r="F733" s="43"/>
      <c r="G733" s="43"/>
    </row>
    <row r="734" spans="1:7" x14ac:dyDescent="0.2">
      <c r="A734" s="44"/>
      <c r="B734" s="44"/>
      <c r="C734" s="44"/>
      <c r="D734" s="44"/>
      <c r="E734" s="44"/>
      <c r="F734" s="44"/>
      <c r="G734" s="44"/>
    </row>
    <row r="735" spans="1:7" x14ac:dyDescent="0.2">
      <c r="A735" s="43"/>
      <c r="B735" s="43"/>
      <c r="C735" s="43"/>
      <c r="D735" s="43"/>
      <c r="E735" s="43"/>
      <c r="F735" s="43"/>
      <c r="G735" s="43"/>
    </row>
    <row r="736" spans="1:7" x14ac:dyDescent="0.2">
      <c r="A736" s="44"/>
      <c r="B736" s="44"/>
      <c r="C736" s="44"/>
      <c r="D736" s="44"/>
      <c r="E736" s="44"/>
      <c r="F736" s="44"/>
      <c r="G736" s="44"/>
    </row>
    <row r="737" spans="1:7" x14ac:dyDescent="0.2">
      <c r="A737" s="43"/>
      <c r="B737" s="43"/>
      <c r="C737" s="43"/>
      <c r="D737" s="43"/>
      <c r="E737" s="43"/>
      <c r="F737" s="43"/>
      <c r="G737" s="43"/>
    </row>
    <row r="738" spans="1:7" x14ac:dyDescent="0.2">
      <c r="A738" s="44"/>
      <c r="B738" s="44"/>
      <c r="C738" s="44"/>
      <c r="D738" s="44"/>
      <c r="E738" s="44"/>
      <c r="F738" s="44"/>
      <c r="G738" s="44"/>
    </row>
    <row r="739" spans="1:7" x14ac:dyDescent="0.2">
      <c r="A739" s="43"/>
      <c r="B739" s="43"/>
      <c r="C739" s="43"/>
      <c r="D739" s="43"/>
      <c r="E739" s="43"/>
      <c r="F739" s="43"/>
      <c r="G739" s="43"/>
    </row>
    <row r="740" spans="1:7" x14ac:dyDescent="0.2">
      <c r="A740" s="44"/>
      <c r="B740" s="44"/>
      <c r="C740" s="44"/>
      <c r="D740" s="44"/>
      <c r="E740" s="44"/>
      <c r="F740" s="44"/>
      <c r="G740" s="44"/>
    </row>
    <row r="741" spans="1:7" x14ac:dyDescent="0.2">
      <c r="A741" s="43"/>
      <c r="B741" s="43"/>
      <c r="C741" s="43"/>
      <c r="D741" s="43"/>
      <c r="E741" s="43"/>
      <c r="F741" s="43"/>
      <c r="G741" s="43"/>
    </row>
    <row r="742" spans="1:7" x14ac:dyDescent="0.2">
      <c r="A742" s="44"/>
      <c r="B742" s="44"/>
      <c r="C742" s="44"/>
      <c r="D742" s="44"/>
      <c r="E742" s="44"/>
      <c r="F742" s="44"/>
      <c r="G742" s="44"/>
    </row>
    <row r="743" spans="1:7" x14ac:dyDescent="0.2">
      <c r="A743" s="43"/>
      <c r="B743" s="43"/>
      <c r="C743" s="43"/>
      <c r="D743" s="43"/>
      <c r="E743" s="43"/>
      <c r="F743" s="43"/>
      <c r="G743" s="43"/>
    </row>
    <row r="744" spans="1:7" x14ac:dyDescent="0.2">
      <c r="A744" s="44"/>
      <c r="B744" s="44"/>
      <c r="C744" s="44"/>
      <c r="D744" s="44"/>
      <c r="E744" s="44"/>
      <c r="F744" s="44"/>
      <c r="G744" s="44"/>
    </row>
    <row r="745" spans="1:7" x14ac:dyDescent="0.2">
      <c r="A745" s="43"/>
      <c r="B745" s="43"/>
      <c r="C745" s="43"/>
      <c r="D745" s="43"/>
      <c r="E745" s="43"/>
      <c r="F745" s="43"/>
      <c r="G745" s="43"/>
    </row>
    <row r="746" spans="1:7" x14ac:dyDescent="0.2">
      <c r="A746" s="44"/>
      <c r="B746" s="44"/>
      <c r="C746" s="44"/>
      <c r="D746" s="44"/>
      <c r="E746" s="44"/>
      <c r="F746" s="44"/>
      <c r="G746" s="44"/>
    </row>
    <row r="747" spans="1:7" x14ac:dyDescent="0.2">
      <c r="A747" s="43"/>
      <c r="B747" s="43"/>
      <c r="C747" s="43"/>
      <c r="D747" s="43"/>
      <c r="E747" s="43"/>
      <c r="F747" s="43"/>
      <c r="G747" s="43"/>
    </row>
    <row r="748" spans="1:7" x14ac:dyDescent="0.2">
      <c r="A748" s="44"/>
      <c r="B748" s="44"/>
      <c r="C748" s="44"/>
      <c r="D748" s="44"/>
      <c r="E748" s="44"/>
      <c r="F748" s="44"/>
      <c r="G748" s="44"/>
    </row>
    <row r="749" spans="1:7" x14ac:dyDescent="0.2">
      <c r="A749" s="43"/>
      <c r="B749" s="43"/>
      <c r="C749" s="43"/>
      <c r="D749" s="43"/>
      <c r="E749" s="43"/>
      <c r="F749" s="43"/>
      <c r="G749" s="43"/>
    </row>
    <row r="750" spans="1:7" x14ac:dyDescent="0.2">
      <c r="A750" s="44"/>
      <c r="B750" s="44"/>
      <c r="C750" s="44"/>
      <c r="D750" s="44"/>
      <c r="E750" s="44"/>
      <c r="F750" s="44"/>
      <c r="G750" s="44"/>
    </row>
    <row r="751" spans="1:7" x14ac:dyDescent="0.2">
      <c r="A751" s="43"/>
      <c r="B751" s="43"/>
      <c r="C751" s="43"/>
      <c r="D751" s="43"/>
      <c r="E751" s="43"/>
      <c r="F751" s="43"/>
      <c r="G751" s="43"/>
    </row>
    <row r="752" spans="1:7" x14ac:dyDescent="0.2">
      <c r="A752" s="44"/>
      <c r="B752" s="44"/>
      <c r="C752" s="44"/>
      <c r="D752" s="44"/>
      <c r="E752" s="44"/>
      <c r="F752" s="44"/>
      <c r="G752" s="44"/>
    </row>
    <row r="753" spans="1:7" x14ac:dyDescent="0.2">
      <c r="A753" s="43"/>
      <c r="B753" s="43"/>
      <c r="C753" s="43"/>
      <c r="D753" s="43"/>
      <c r="E753" s="43"/>
      <c r="F753" s="43"/>
      <c r="G753" s="43"/>
    </row>
    <row r="754" spans="1:7" x14ac:dyDescent="0.2">
      <c r="A754" s="44"/>
      <c r="B754" s="44"/>
      <c r="C754" s="44"/>
      <c r="D754" s="44"/>
      <c r="E754" s="44"/>
      <c r="F754" s="44"/>
      <c r="G754" s="44"/>
    </row>
    <row r="755" spans="1:7" x14ac:dyDescent="0.2">
      <c r="A755" s="43"/>
      <c r="B755" s="43"/>
      <c r="C755" s="43"/>
      <c r="D755" s="43"/>
      <c r="E755" s="43"/>
      <c r="F755" s="43"/>
      <c r="G755" s="43"/>
    </row>
    <row r="756" spans="1:7" x14ac:dyDescent="0.2">
      <c r="A756" s="44"/>
      <c r="B756" s="44"/>
      <c r="C756" s="44"/>
      <c r="D756" s="44"/>
      <c r="E756" s="44"/>
      <c r="F756" s="44"/>
      <c r="G756" s="44"/>
    </row>
    <row r="757" spans="1:7" x14ac:dyDescent="0.2">
      <c r="A757" s="43"/>
      <c r="B757" s="43"/>
      <c r="C757" s="43"/>
      <c r="D757" s="43"/>
      <c r="E757" s="43"/>
      <c r="F757" s="43"/>
      <c r="G757" s="43"/>
    </row>
    <row r="758" spans="1:7" x14ac:dyDescent="0.2">
      <c r="A758" s="44"/>
      <c r="B758" s="44"/>
      <c r="C758" s="44"/>
      <c r="D758" s="44"/>
      <c r="E758" s="44"/>
      <c r="F758" s="44"/>
      <c r="G758" s="44"/>
    </row>
    <row r="759" spans="1:7" x14ac:dyDescent="0.2">
      <c r="A759" s="43"/>
      <c r="B759" s="43"/>
      <c r="C759" s="43"/>
      <c r="D759" s="43"/>
      <c r="E759" s="43"/>
      <c r="F759" s="43"/>
      <c r="G759" s="43"/>
    </row>
    <row r="760" spans="1:7" x14ac:dyDescent="0.2">
      <c r="A760" s="44"/>
      <c r="B760" s="44"/>
      <c r="C760" s="44"/>
      <c r="D760" s="44"/>
      <c r="E760" s="44"/>
      <c r="F760" s="44"/>
      <c r="G760" s="44"/>
    </row>
    <row r="761" spans="1:7" x14ac:dyDescent="0.2">
      <c r="A761" s="43"/>
      <c r="B761" s="43"/>
      <c r="C761" s="43"/>
      <c r="D761" s="43"/>
      <c r="E761" s="43"/>
      <c r="F761" s="43"/>
      <c r="G761" s="43"/>
    </row>
    <row r="762" spans="1:7" x14ac:dyDescent="0.2">
      <c r="A762" s="44"/>
      <c r="B762" s="44"/>
      <c r="C762" s="44"/>
      <c r="D762" s="44"/>
      <c r="E762" s="44"/>
      <c r="F762" s="44"/>
      <c r="G762" s="44"/>
    </row>
    <row r="763" spans="1:7" x14ac:dyDescent="0.2">
      <c r="A763" s="43"/>
      <c r="B763" s="43"/>
      <c r="C763" s="43"/>
      <c r="D763" s="43"/>
      <c r="E763" s="43"/>
      <c r="F763" s="43"/>
      <c r="G763" s="43"/>
    </row>
    <row r="764" spans="1:7" x14ac:dyDescent="0.2">
      <c r="A764" s="44"/>
      <c r="B764" s="44"/>
      <c r="C764" s="44"/>
      <c r="D764" s="44"/>
      <c r="E764" s="44"/>
      <c r="F764" s="44"/>
      <c r="G764" s="44"/>
    </row>
    <row r="765" spans="1:7" x14ac:dyDescent="0.2">
      <c r="A765" s="43"/>
      <c r="B765" s="43"/>
      <c r="C765" s="43"/>
      <c r="D765" s="43"/>
      <c r="E765" s="43"/>
      <c r="F765" s="43"/>
      <c r="G765" s="43"/>
    </row>
    <row r="766" spans="1:7" x14ac:dyDescent="0.2">
      <c r="A766" s="44"/>
      <c r="B766" s="44"/>
      <c r="C766" s="44"/>
      <c r="D766" s="44"/>
      <c r="E766" s="44"/>
      <c r="F766" s="44"/>
      <c r="G766" s="44"/>
    </row>
    <row r="767" spans="1:7" x14ac:dyDescent="0.2">
      <c r="A767" s="43"/>
      <c r="B767" s="43"/>
      <c r="C767" s="43"/>
      <c r="D767" s="43"/>
      <c r="E767" s="43"/>
      <c r="F767" s="43"/>
      <c r="G767" s="43"/>
    </row>
    <row r="768" spans="1:7" x14ac:dyDescent="0.2">
      <c r="A768" s="44"/>
      <c r="B768" s="44"/>
      <c r="C768" s="44"/>
      <c r="D768" s="44"/>
      <c r="E768" s="44"/>
      <c r="F768" s="44"/>
      <c r="G768" s="44"/>
    </row>
    <row r="769" spans="1:7" x14ac:dyDescent="0.2">
      <c r="A769" s="43"/>
      <c r="B769" s="43"/>
      <c r="C769" s="43"/>
      <c r="D769" s="43"/>
      <c r="E769" s="43"/>
      <c r="F769" s="43"/>
      <c r="G769" s="43"/>
    </row>
    <row r="770" spans="1:7" x14ac:dyDescent="0.2">
      <c r="A770" s="44"/>
      <c r="B770" s="44"/>
      <c r="C770" s="44"/>
      <c r="D770" s="44"/>
      <c r="E770" s="44"/>
      <c r="F770" s="44"/>
      <c r="G770" s="44"/>
    </row>
    <row r="771" spans="1:7" x14ac:dyDescent="0.2">
      <c r="A771" s="43"/>
      <c r="B771" s="43"/>
      <c r="C771" s="43"/>
      <c r="D771" s="43"/>
      <c r="E771" s="43"/>
      <c r="F771" s="43"/>
      <c r="G771" s="43"/>
    </row>
    <row r="772" spans="1:7" x14ac:dyDescent="0.2">
      <c r="A772" s="44"/>
      <c r="B772" s="44"/>
      <c r="C772" s="44"/>
      <c r="D772" s="44"/>
      <c r="E772" s="44"/>
      <c r="F772" s="44"/>
      <c r="G772" s="44"/>
    </row>
    <row r="773" spans="1:7" x14ac:dyDescent="0.2">
      <c r="A773" s="43"/>
      <c r="B773" s="43"/>
      <c r="C773" s="43"/>
      <c r="D773" s="43"/>
      <c r="E773" s="43"/>
      <c r="F773" s="43"/>
      <c r="G773" s="43"/>
    </row>
    <row r="774" spans="1:7" x14ac:dyDescent="0.2">
      <c r="A774" s="44"/>
      <c r="B774" s="44"/>
      <c r="C774" s="44"/>
      <c r="D774" s="44"/>
      <c r="E774" s="44"/>
      <c r="F774" s="44"/>
      <c r="G774" s="44"/>
    </row>
    <row r="775" spans="1:7" x14ac:dyDescent="0.2">
      <c r="A775" s="43"/>
      <c r="B775" s="43"/>
      <c r="C775" s="43"/>
      <c r="D775" s="43"/>
      <c r="E775" s="43"/>
      <c r="F775" s="43"/>
      <c r="G775" s="43"/>
    </row>
    <row r="776" spans="1:7" x14ac:dyDescent="0.2">
      <c r="A776" s="44"/>
      <c r="B776" s="44"/>
      <c r="C776" s="44"/>
      <c r="D776" s="44"/>
      <c r="E776" s="44"/>
      <c r="F776" s="44"/>
      <c r="G776" s="44"/>
    </row>
    <row r="777" spans="1:7" x14ac:dyDescent="0.2">
      <c r="A777" s="43"/>
      <c r="B777" s="43"/>
      <c r="C777" s="43"/>
      <c r="D777" s="43"/>
      <c r="E777" s="43"/>
      <c r="F777" s="43"/>
      <c r="G777" s="43"/>
    </row>
    <row r="778" spans="1:7" x14ac:dyDescent="0.2">
      <c r="A778" s="44"/>
      <c r="B778" s="44"/>
      <c r="C778" s="44"/>
      <c r="D778" s="44"/>
      <c r="E778" s="44"/>
      <c r="F778" s="44"/>
      <c r="G778" s="44"/>
    </row>
    <row r="779" spans="1:7" x14ac:dyDescent="0.2">
      <c r="A779" s="43"/>
      <c r="B779" s="43"/>
      <c r="C779" s="43"/>
      <c r="D779" s="43"/>
      <c r="E779" s="43"/>
      <c r="F779" s="43"/>
      <c r="G779" s="43"/>
    </row>
    <row r="780" spans="1:7" x14ac:dyDescent="0.2">
      <c r="A780" s="44"/>
      <c r="B780" s="44"/>
      <c r="C780" s="44"/>
      <c r="D780" s="44"/>
      <c r="E780" s="44"/>
      <c r="F780" s="44"/>
      <c r="G780" s="44"/>
    </row>
    <row r="781" spans="1:7" x14ac:dyDescent="0.2">
      <c r="A781" s="43"/>
      <c r="B781" s="43"/>
      <c r="C781" s="43"/>
      <c r="D781" s="43"/>
      <c r="E781" s="43"/>
      <c r="F781" s="43"/>
      <c r="G781" s="43"/>
    </row>
    <row r="782" spans="1:7" x14ac:dyDescent="0.2">
      <c r="A782" s="44"/>
      <c r="B782" s="44"/>
      <c r="C782" s="44"/>
      <c r="D782" s="44"/>
      <c r="E782" s="44"/>
      <c r="F782" s="44"/>
      <c r="G782" s="44"/>
    </row>
    <row r="783" spans="1:7" x14ac:dyDescent="0.2">
      <c r="A783" s="43"/>
      <c r="B783" s="43"/>
      <c r="C783" s="43"/>
      <c r="D783" s="43"/>
      <c r="E783" s="43"/>
      <c r="F783" s="43"/>
      <c r="G783" s="43"/>
    </row>
    <row r="784" spans="1:7" x14ac:dyDescent="0.2">
      <c r="A784" s="44"/>
      <c r="B784" s="44"/>
      <c r="C784" s="44"/>
      <c r="D784" s="44"/>
      <c r="E784" s="44"/>
      <c r="F784" s="44"/>
      <c r="G784" s="44"/>
    </row>
    <row r="785" spans="1:7" x14ac:dyDescent="0.2">
      <c r="A785" s="43"/>
      <c r="B785" s="43"/>
      <c r="C785" s="43"/>
      <c r="D785" s="43"/>
      <c r="E785" s="43"/>
      <c r="F785" s="43"/>
      <c r="G785" s="43"/>
    </row>
    <row r="786" spans="1:7" x14ac:dyDescent="0.2">
      <c r="A786" s="44"/>
      <c r="B786" s="44"/>
      <c r="C786" s="44"/>
      <c r="D786" s="44"/>
      <c r="E786" s="44"/>
      <c r="F786" s="44"/>
      <c r="G786" s="44"/>
    </row>
    <row r="787" spans="1:7" x14ac:dyDescent="0.2">
      <c r="A787" s="43"/>
      <c r="B787" s="43"/>
      <c r="C787" s="43"/>
      <c r="D787" s="43"/>
      <c r="E787" s="43"/>
      <c r="F787" s="43"/>
      <c r="G787" s="43"/>
    </row>
    <row r="788" spans="1:7" x14ac:dyDescent="0.2">
      <c r="A788" s="44"/>
      <c r="B788" s="44"/>
      <c r="C788" s="44"/>
      <c r="D788" s="44"/>
      <c r="E788" s="44"/>
      <c r="F788" s="44"/>
      <c r="G788" s="44"/>
    </row>
    <row r="789" spans="1:7" x14ac:dyDescent="0.2">
      <c r="A789" s="43"/>
      <c r="B789" s="43"/>
      <c r="C789" s="43"/>
      <c r="D789" s="43"/>
      <c r="E789" s="43"/>
      <c r="F789" s="43"/>
      <c r="G789" s="43"/>
    </row>
    <row r="790" spans="1:7" x14ac:dyDescent="0.2">
      <c r="A790" s="44"/>
      <c r="B790" s="44"/>
      <c r="C790" s="44"/>
      <c r="D790" s="44"/>
      <c r="E790" s="44"/>
      <c r="F790" s="44"/>
      <c r="G790" s="44"/>
    </row>
    <row r="791" spans="1:7" x14ac:dyDescent="0.2">
      <c r="A791" s="43"/>
      <c r="B791" s="43"/>
      <c r="C791" s="43"/>
      <c r="D791" s="43"/>
      <c r="E791" s="43"/>
      <c r="F791" s="43"/>
      <c r="G791" s="43"/>
    </row>
    <row r="792" spans="1:7" x14ac:dyDescent="0.2">
      <c r="A792" s="44"/>
      <c r="B792" s="44"/>
      <c r="C792" s="44"/>
      <c r="D792" s="44"/>
      <c r="E792" s="44"/>
      <c r="F792" s="44"/>
      <c r="G792" s="44"/>
    </row>
    <row r="793" spans="1:7" x14ac:dyDescent="0.2">
      <c r="A793" s="43"/>
      <c r="B793" s="43"/>
      <c r="C793" s="43"/>
      <c r="D793" s="43"/>
      <c r="E793" s="43"/>
      <c r="F793" s="43"/>
      <c r="G793" s="43"/>
    </row>
    <row r="794" spans="1:7" x14ac:dyDescent="0.2">
      <c r="A794" s="44"/>
      <c r="B794" s="44"/>
      <c r="C794" s="44"/>
      <c r="D794" s="44"/>
      <c r="E794" s="44"/>
      <c r="F794" s="44"/>
      <c r="G794" s="44"/>
    </row>
    <row r="795" spans="1:7" x14ac:dyDescent="0.2">
      <c r="A795" s="43"/>
      <c r="B795" s="43"/>
      <c r="C795" s="43"/>
      <c r="D795" s="43"/>
      <c r="E795" s="43"/>
      <c r="F795" s="43"/>
      <c r="G795" s="43"/>
    </row>
    <row r="796" spans="1:7" x14ac:dyDescent="0.2">
      <c r="A796" s="44"/>
      <c r="B796" s="44"/>
      <c r="C796" s="44"/>
      <c r="D796" s="44"/>
      <c r="E796" s="44"/>
      <c r="F796" s="44"/>
      <c r="G796" s="44"/>
    </row>
    <row r="797" spans="1:7" x14ac:dyDescent="0.2">
      <c r="A797" s="43"/>
      <c r="B797" s="43"/>
      <c r="C797" s="43"/>
      <c r="D797" s="43"/>
      <c r="E797" s="43"/>
      <c r="F797" s="43"/>
      <c r="G797" s="43"/>
    </row>
    <row r="798" spans="1:7" x14ac:dyDescent="0.2">
      <c r="A798" s="44"/>
      <c r="B798" s="44"/>
      <c r="C798" s="44"/>
      <c r="D798" s="44"/>
      <c r="E798" s="44"/>
      <c r="F798" s="44"/>
      <c r="G798" s="44"/>
    </row>
    <row r="799" spans="1:7" x14ac:dyDescent="0.2">
      <c r="A799" s="43"/>
      <c r="B799" s="43"/>
      <c r="C799" s="43"/>
      <c r="D799" s="43"/>
      <c r="E799" s="43"/>
      <c r="F799" s="43"/>
      <c r="G799" s="43"/>
    </row>
    <row r="800" spans="1:7" x14ac:dyDescent="0.2">
      <c r="A800" s="44"/>
      <c r="B800" s="44"/>
      <c r="C800" s="44"/>
      <c r="D800" s="44"/>
      <c r="E800" s="44"/>
      <c r="F800" s="44"/>
      <c r="G800" s="44"/>
    </row>
    <row r="801" spans="1:7" x14ac:dyDescent="0.2">
      <c r="A801" s="43"/>
      <c r="B801" s="43"/>
      <c r="C801" s="43"/>
      <c r="D801" s="43"/>
      <c r="E801" s="43"/>
      <c r="F801" s="43"/>
      <c r="G801" s="43"/>
    </row>
    <row r="802" spans="1:7" x14ac:dyDescent="0.2">
      <c r="A802" s="44"/>
      <c r="B802" s="44"/>
      <c r="C802" s="44"/>
      <c r="D802" s="44"/>
      <c r="E802" s="44"/>
      <c r="F802" s="44"/>
      <c r="G802" s="44"/>
    </row>
    <row r="803" spans="1:7" x14ac:dyDescent="0.2">
      <c r="A803" s="43"/>
      <c r="B803" s="43"/>
      <c r="C803" s="43"/>
      <c r="D803" s="43"/>
      <c r="E803" s="43"/>
      <c r="F803" s="43"/>
      <c r="G803" s="43"/>
    </row>
    <row r="804" spans="1:7" x14ac:dyDescent="0.2">
      <c r="A804" s="44"/>
      <c r="B804" s="44"/>
      <c r="C804" s="44"/>
      <c r="D804" s="44"/>
      <c r="E804" s="44"/>
      <c r="F804" s="44"/>
      <c r="G804" s="44"/>
    </row>
    <row r="805" spans="1:7" x14ac:dyDescent="0.2">
      <c r="A805" s="43"/>
      <c r="B805" s="43"/>
      <c r="C805" s="43"/>
      <c r="D805" s="43"/>
      <c r="E805" s="43"/>
      <c r="F805" s="43"/>
      <c r="G805" s="43"/>
    </row>
    <row r="806" spans="1:7" x14ac:dyDescent="0.2">
      <c r="A806" s="44"/>
      <c r="B806" s="44"/>
      <c r="C806" s="44"/>
      <c r="D806" s="44"/>
      <c r="E806" s="44"/>
      <c r="F806" s="44"/>
      <c r="G806" s="44"/>
    </row>
    <row r="807" spans="1:7" x14ac:dyDescent="0.2">
      <c r="A807" s="43"/>
      <c r="B807" s="43"/>
      <c r="C807" s="43"/>
      <c r="D807" s="43"/>
      <c r="E807" s="43"/>
      <c r="F807" s="43"/>
      <c r="G807" s="43"/>
    </row>
    <row r="808" spans="1:7" x14ac:dyDescent="0.2">
      <c r="A808" s="44"/>
      <c r="B808" s="44"/>
      <c r="C808" s="44"/>
      <c r="D808" s="44"/>
      <c r="E808" s="44"/>
      <c r="F808" s="44"/>
      <c r="G808" s="44"/>
    </row>
    <row r="809" spans="1:7" x14ac:dyDescent="0.2">
      <c r="A809" s="43"/>
      <c r="B809" s="43"/>
      <c r="C809" s="43"/>
      <c r="D809" s="43"/>
      <c r="E809" s="43"/>
      <c r="F809" s="43"/>
      <c r="G809" s="43"/>
    </row>
    <row r="810" spans="1:7" x14ac:dyDescent="0.2">
      <c r="A810" s="44"/>
      <c r="B810" s="44"/>
      <c r="C810" s="44"/>
      <c r="D810" s="44"/>
      <c r="E810" s="44"/>
      <c r="F810" s="44"/>
      <c r="G810" s="44"/>
    </row>
    <row r="811" spans="1:7" x14ac:dyDescent="0.2">
      <c r="A811" s="43"/>
      <c r="B811" s="43"/>
      <c r="C811" s="43"/>
      <c r="D811" s="43"/>
      <c r="E811" s="43"/>
      <c r="F811" s="43"/>
      <c r="G811" s="43"/>
    </row>
    <row r="812" spans="1:7" x14ac:dyDescent="0.2">
      <c r="A812" s="44"/>
      <c r="B812" s="44"/>
      <c r="C812" s="44"/>
      <c r="D812" s="44"/>
      <c r="E812" s="44"/>
      <c r="F812" s="44"/>
      <c r="G812" s="44"/>
    </row>
    <row r="813" spans="1:7" x14ac:dyDescent="0.2">
      <c r="A813" s="43"/>
      <c r="B813" s="43"/>
      <c r="C813" s="43"/>
      <c r="D813" s="43"/>
      <c r="E813" s="43"/>
      <c r="F813" s="43"/>
      <c r="G813" s="43"/>
    </row>
    <row r="814" spans="1:7" x14ac:dyDescent="0.2">
      <c r="A814" s="44"/>
      <c r="B814" s="44"/>
      <c r="C814" s="44"/>
      <c r="D814" s="44"/>
      <c r="E814" s="44"/>
      <c r="F814" s="44"/>
      <c r="G814" s="44"/>
    </row>
    <row r="815" spans="1:7" x14ac:dyDescent="0.2">
      <c r="A815" s="43"/>
      <c r="B815" s="43"/>
      <c r="C815" s="43"/>
      <c r="D815" s="43"/>
      <c r="E815" s="43"/>
      <c r="F815" s="43"/>
      <c r="G815" s="43"/>
    </row>
    <row r="816" spans="1:7" x14ac:dyDescent="0.2">
      <c r="A816" s="44"/>
      <c r="B816" s="44"/>
      <c r="C816" s="44"/>
      <c r="D816" s="44"/>
      <c r="E816" s="44"/>
      <c r="F816" s="44"/>
      <c r="G816" s="44"/>
    </row>
    <row r="817" spans="1:7" x14ac:dyDescent="0.2">
      <c r="A817" s="43"/>
      <c r="B817" s="43"/>
      <c r="C817" s="43"/>
      <c r="D817" s="43"/>
      <c r="E817" s="43"/>
      <c r="F817" s="43"/>
      <c r="G817" s="43"/>
    </row>
    <row r="818" spans="1:7" x14ac:dyDescent="0.2">
      <c r="A818" s="44"/>
      <c r="B818" s="44"/>
      <c r="C818" s="44"/>
      <c r="D818" s="44"/>
      <c r="E818" s="44"/>
      <c r="F818" s="44"/>
      <c r="G818" s="44"/>
    </row>
    <row r="819" spans="1:7" x14ac:dyDescent="0.2">
      <c r="A819" s="43"/>
      <c r="B819" s="43"/>
      <c r="C819" s="43"/>
      <c r="D819" s="43"/>
      <c r="E819" s="43"/>
      <c r="F819" s="43"/>
      <c r="G819" s="43"/>
    </row>
    <row r="820" spans="1:7" x14ac:dyDescent="0.2">
      <c r="A820" s="44"/>
      <c r="B820" s="44"/>
      <c r="C820" s="44"/>
      <c r="D820" s="44"/>
      <c r="E820" s="44"/>
      <c r="F820" s="44"/>
      <c r="G820" s="44"/>
    </row>
    <row r="821" spans="1:7" x14ac:dyDescent="0.2">
      <c r="A821" s="43"/>
      <c r="B821" s="43"/>
      <c r="C821" s="43"/>
      <c r="D821" s="43"/>
      <c r="E821" s="43"/>
      <c r="F821" s="43"/>
      <c r="G821" s="43"/>
    </row>
    <row r="822" spans="1:7" x14ac:dyDescent="0.2">
      <c r="A822" s="44"/>
      <c r="B822" s="44"/>
      <c r="C822" s="44"/>
      <c r="D822" s="44"/>
      <c r="E822" s="44"/>
      <c r="F822" s="44"/>
      <c r="G822" s="44"/>
    </row>
    <row r="823" spans="1:7" x14ac:dyDescent="0.2">
      <c r="A823" s="43"/>
      <c r="B823" s="43"/>
      <c r="C823" s="43"/>
      <c r="D823" s="43"/>
      <c r="E823" s="43"/>
      <c r="F823" s="43"/>
      <c r="G823" s="43"/>
    </row>
    <row r="824" spans="1:7" x14ac:dyDescent="0.2">
      <c r="A824" s="44"/>
      <c r="B824" s="44"/>
      <c r="C824" s="44"/>
      <c r="D824" s="44"/>
      <c r="E824" s="44"/>
      <c r="F824" s="44"/>
      <c r="G824" s="44"/>
    </row>
    <row r="825" spans="1:7" x14ac:dyDescent="0.2">
      <c r="A825" s="43"/>
      <c r="B825" s="43"/>
      <c r="C825" s="43"/>
      <c r="D825" s="43"/>
      <c r="E825" s="43"/>
      <c r="F825" s="43"/>
      <c r="G825" s="43"/>
    </row>
    <row r="826" spans="1:7" x14ac:dyDescent="0.2">
      <c r="A826" s="44"/>
      <c r="B826" s="44"/>
      <c r="C826" s="44"/>
      <c r="D826" s="44"/>
      <c r="E826" s="44"/>
      <c r="F826" s="44"/>
      <c r="G826" s="44"/>
    </row>
    <row r="827" spans="1:7" x14ac:dyDescent="0.2">
      <c r="A827" s="43"/>
      <c r="B827" s="43"/>
      <c r="C827" s="43"/>
      <c r="D827" s="43"/>
      <c r="E827" s="43"/>
      <c r="F827" s="43"/>
      <c r="G827" s="43"/>
    </row>
    <row r="828" spans="1:7" x14ac:dyDescent="0.2">
      <c r="A828" s="44"/>
      <c r="B828" s="44"/>
      <c r="C828" s="44"/>
      <c r="D828" s="44"/>
      <c r="E828" s="44"/>
      <c r="F828" s="44"/>
      <c r="G828" s="44"/>
    </row>
    <row r="829" spans="1:7" x14ac:dyDescent="0.2">
      <c r="A829" s="43"/>
      <c r="B829" s="43"/>
      <c r="C829" s="43"/>
      <c r="D829" s="43"/>
      <c r="E829" s="43"/>
      <c r="F829" s="43"/>
      <c r="G829" s="43"/>
    </row>
    <row r="830" spans="1:7" x14ac:dyDescent="0.2">
      <c r="A830" s="44"/>
      <c r="B830" s="44"/>
      <c r="C830" s="44"/>
      <c r="D830" s="44"/>
      <c r="E830" s="44"/>
      <c r="F830" s="44"/>
      <c r="G830" s="44"/>
    </row>
    <row r="831" spans="1:7" x14ac:dyDescent="0.2">
      <c r="A831" s="43"/>
      <c r="B831" s="43"/>
      <c r="C831" s="43"/>
      <c r="D831" s="43"/>
      <c r="E831" s="43"/>
      <c r="F831" s="43"/>
      <c r="G831" s="43"/>
    </row>
    <row r="832" spans="1:7" x14ac:dyDescent="0.2">
      <c r="A832" s="44"/>
      <c r="B832" s="44"/>
      <c r="C832" s="44"/>
      <c r="D832" s="44"/>
      <c r="E832" s="44"/>
      <c r="F832" s="44"/>
      <c r="G832" s="44"/>
    </row>
    <row r="833" spans="1:7" x14ac:dyDescent="0.2">
      <c r="A833" s="43"/>
      <c r="B833" s="43"/>
      <c r="C833" s="43"/>
      <c r="D833" s="43"/>
      <c r="E833" s="43"/>
      <c r="F833" s="43"/>
      <c r="G833" s="43"/>
    </row>
    <row r="834" spans="1:7" x14ac:dyDescent="0.2">
      <c r="A834" s="44"/>
      <c r="B834" s="44"/>
      <c r="C834" s="44"/>
      <c r="D834" s="44"/>
      <c r="E834" s="44"/>
      <c r="F834" s="44"/>
      <c r="G834" s="44"/>
    </row>
    <row r="835" spans="1:7" x14ac:dyDescent="0.2">
      <c r="A835" s="43"/>
      <c r="B835" s="43"/>
      <c r="C835" s="43"/>
      <c r="D835" s="43"/>
      <c r="E835" s="43"/>
      <c r="F835" s="43"/>
      <c r="G835" s="43"/>
    </row>
    <row r="836" spans="1:7" x14ac:dyDescent="0.2">
      <c r="A836" s="44"/>
      <c r="B836" s="44"/>
      <c r="C836" s="44"/>
      <c r="D836" s="44"/>
      <c r="E836" s="44"/>
      <c r="F836" s="44"/>
      <c r="G836" s="44"/>
    </row>
    <row r="837" spans="1:7" x14ac:dyDescent="0.2">
      <c r="A837" s="43"/>
      <c r="B837" s="43"/>
      <c r="C837" s="43"/>
      <c r="D837" s="43"/>
      <c r="E837" s="43"/>
      <c r="F837" s="43"/>
      <c r="G837" s="43"/>
    </row>
    <row r="838" spans="1:7" x14ac:dyDescent="0.2">
      <c r="A838" s="44"/>
      <c r="B838" s="44"/>
      <c r="C838" s="44"/>
      <c r="D838" s="44"/>
      <c r="E838" s="44"/>
      <c r="F838" s="44"/>
      <c r="G838" s="44"/>
    </row>
    <row r="839" spans="1:7" x14ac:dyDescent="0.2">
      <c r="A839" s="43"/>
      <c r="B839" s="43"/>
      <c r="C839" s="43"/>
      <c r="D839" s="43"/>
      <c r="E839" s="43"/>
      <c r="F839" s="43"/>
      <c r="G839" s="43"/>
    </row>
    <row r="840" spans="1:7" x14ac:dyDescent="0.2">
      <c r="A840" s="44"/>
      <c r="B840" s="44"/>
      <c r="C840" s="44"/>
      <c r="D840" s="44"/>
      <c r="E840" s="44"/>
      <c r="F840" s="44"/>
      <c r="G840" s="44"/>
    </row>
    <row r="841" spans="1:7" x14ac:dyDescent="0.2">
      <c r="A841" s="43"/>
      <c r="B841" s="43"/>
      <c r="C841" s="43"/>
      <c r="D841" s="43"/>
      <c r="E841" s="43"/>
      <c r="F841" s="43"/>
      <c r="G841" s="43"/>
    </row>
    <row r="842" spans="1:7" x14ac:dyDescent="0.2">
      <c r="A842" s="44"/>
      <c r="B842" s="44"/>
      <c r="C842" s="44"/>
      <c r="D842" s="44"/>
      <c r="E842" s="44"/>
      <c r="F842" s="44"/>
      <c r="G842" s="44"/>
    </row>
    <row r="843" spans="1:7" x14ac:dyDescent="0.2">
      <c r="A843" s="43"/>
      <c r="B843" s="43"/>
      <c r="C843" s="43"/>
      <c r="D843" s="43"/>
      <c r="E843" s="43"/>
      <c r="F843" s="43"/>
      <c r="G843" s="43"/>
    </row>
    <row r="844" spans="1:7" x14ac:dyDescent="0.2">
      <c r="A844" s="44"/>
      <c r="B844" s="44"/>
      <c r="C844" s="44"/>
      <c r="D844" s="44"/>
      <c r="E844" s="44"/>
      <c r="F844" s="44"/>
      <c r="G844" s="44"/>
    </row>
    <row r="845" spans="1:7" x14ac:dyDescent="0.2">
      <c r="A845" s="43"/>
      <c r="B845" s="43"/>
      <c r="C845" s="43"/>
      <c r="D845" s="43"/>
      <c r="E845" s="43"/>
      <c r="F845" s="43"/>
      <c r="G845" s="43"/>
    </row>
    <row r="846" spans="1:7" x14ac:dyDescent="0.2">
      <c r="A846" s="44"/>
      <c r="B846" s="44"/>
      <c r="C846" s="44"/>
      <c r="D846" s="44"/>
      <c r="E846" s="44"/>
      <c r="F846" s="44"/>
      <c r="G846" s="44"/>
    </row>
    <row r="847" spans="1:7" x14ac:dyDescent="0.2">
      <c r="A847" s="43"/>
      <c r="B847" s="43"/>
      <c r="C847" s="43"/>
      <c r="D847" s="43"/>
      <c r="E847" s="43"/>
      <c r="F847" s="43"/>
      <c r="G847" s="43"/>
    </row>
    <row r="848" spans="1:7" x14ac:dyDescent="0.2">
      <c r="A848" s="44"/>
      <c r="B848" s="44"/>
      <c r="C848" s="44"/>
      <c r="D848" s="44"/>
      <c r="E848" s="44"/>
      <c r="F848" s="44"/>
      <c r="G848" s="44"/>
    </row>
    <row r="849" spans="1:7" x14ac:dyDescent="0.2">
      <c r="A849" s="43"/>
      <c r="B849" s="43"/>
      <c r="C849" s="43"/>
      <c r="D849" s="43"/>
      <c r="E849" s="43"/>
      <c r="F849" s="43"/>
      <c r="G849" s="43"/>
    </row>
    <row r="850" spans="1:7" x14ac:dyDescent="0.2">
      <c r="A850" s="44"/>
      <c r="B850" s="44"/>
      <c r="C850" s="44"/>
      <c r="D850" s="44"/>
      <c r="E850" s="44"/>
      <c r="F850" s="44"/>
      <c r="G850" s="44"/>
    </row>
    <row r="851" spans="1:7" x14ac:dyDescent="0.2">
      <c r="A851" s="43"/>
      <c r="B851" s="43"/>
      <c r="C851" s="43"/>
      <c r="D851" s="43"/>
      <c r="E851" s="43"/>
      <c r="F851" s="43"/>
      <c r="G851" s="43"/>
    </row>
    <row r="852" spans="1:7" x14ac:dyDescent="0.2">
      <c r="A852" s="44"/>
      <c r="B852" s="44"/>
      <c r="C852" s="44"/>
      <c r="D852" s="44"/>
      <c r="E852" s="44"/>
      <c r="F852" s="44"/>
      <c r="G852" s="44"/>
    </row>
    <row r="853" spans="1:7" x14ac:dyDescent="0.2">
      <c r="A853" s="43"/>
      <c r="B853" s="43"/>
      <c r="C853" s="43"/>
      <c r="D853" s="43"/>
      <c r="E853" s="43"/>
      <c r="F853" s="43"/>
      <c r="G853" s="43"/>
    </row>
    <row r="854" spans="1:7" x14ac:dyDescent="0.2">
      <c r="A854" s="44"/>
      <c r="B854" s="44"/>
      <c r="C854" s="44"/>
      <c r="D854" s="44"/>
      <c r="E854" s="44"/>
      <c r="F854" s="44"/>
      <c r="G854" s="44"/>
    </row>
    <row r="855" spans="1:7" x14ac:dyDescent="0.2">
      <c r="A855" s="43"/>
      <c r="B855" s="43"/>
      <c r="C855" s="43"/>
      <c r="D855" s="43"/>
      <c r="E855" s="43"/>
      <c r="F855" s="43"/>
      <c r="G855" s="43"/>
    </row>
    <row r="856" spans="1:7" x14ac:dyDescent="0.2">
      <c r="A856" s="44"/>
      <c r="B856" s="44"/>
      <c r="C856" s="44"/>
      <c r="D856" s="44"/>
      <c r="E856" s="44"/>
      <c r="F856" s="44"/>
      <c r="G856" s="44"/>
    </row>
    <row r="857" spans="1:7" x14ac:dyDescent="0.2">
      <c r="A857" s="43"/>
      <c r="B857" s="43"/>
      <c r="C857" s="43"/>
      <c r="D857" s="43"/>
      <c r="E857" s="43"/>
      <c r="F857" s="43"/>
      <c r="G857" s="43"/>
    </row>
    <row r="858" spans="1:7" x14ac:dyDescent="0.2">
      <c r="A858" s="44"/>
      <c r="B858" s="44"/>
      <c r="C858" s="44"/>
      <c r="D858" s="44"/>
      <c r="E858" s="44"/>
      <c r="F858" s="44"/>
      <c r="G858" s="44"/>
    </row>
    <row r="859" spans="1:7" x14ac:dyDescent="0.2">
      <c r="A859" s="43"/>
      <c r="B859" s="43"/>
      <c r="C859" s="43"/>
      <c r="D859" s="43"/>
      <c r="E859" s="43"/>
      <c r="F859" s="43"/>
      <c r="G859" s="43"/>
    </row>
    <row r="860" spans="1:7" x14ac:dyDescent="0.2">
      <c r="A860" s="44"/>
      <c r="B860" s="44"/>
      <c r="C860" s="44"/>
      <c r="D860" s="44"/>
      <c r="E860" s="44"/>
      <c r="F860" s="44"/>
      <c r="G860" s="44"/>
    </row>
    <row r="861" spans="1:7" x14ac:dyDescent="0.2">
      <c r="A861" s="43"/>
      <c r="B861" s="43"/>
      <c r="C861" s="43"/>
      <c r="D861" s="43"/>
      <c r="E861" s="43"/>
      <c r="F861" s="43"/>
      <c r="G861" s="43"/>
    </row>
    <row r="862" spans="1:7" x14ac:dyDescent="0.2">
      <c r="A862" s="44"/>
      <c r="B862" s="44"/>
      <c r="C862" s="44"/>
      <c r="D862" s="44"/>
      <c r="E862" s="44"/>
      <c r="F862" s="44"/>
      <c r="G862" s="44"/>
    </row>
    <row r="863" spans="1:7" x14ac:dyDescent="0.2">
      <c r="A863" s="43"/>
      <c r="B863" s="43"/>
      <c r="C863" s="43"/>
      <c r="D863" s="43"/>
      <c r="E863" s="43"/>
      <c r="F863" s="43"/>
      <c r="G863" s="43"/>
    </row>
    <row r="864" spans="1:7" x14ac:dyDescent="0.2">
      <c r="A864" s="44"/>
      <c r="B864" s="44"/>
      <c r="C864" s="44"/>
      <c r="D864" s="44"/>
      <c r="E864" s="44"/>
      <c r="F864" s="44"/>
      <c r="G864" s="44"/>
    </row>
    <row r="865" spans="1:7" x14ac:dyDescent="0.2">
      <c r="A865" s="43"/>
      <c r="B865" s="43"/>
      <c r="C865" s="43"/>
      <c r="D865" s="43"/>
      <c r="E865" s="43"/>
      <c r="F865" s="43"/>
      <c r="G865" s="43"/>
    </row>
    <row r="866" spans="1:7" x14ac:dyDescent="0.2">
      <c r="A866" s="44"/>
      <c r="B866" s="44"/>
      <c r="C866" s="44"/>
      <c r="D866" s="44"/>
      <c r="E866" s="44"/>
      <c r="F866" s="44"/>
      <c r="G866" s="44"/>
    </row>
    <row r="867" spans="1:7" x14ac:dyDescent="0.2">
      <c r="A867" s="43"/>
      <c r="B867" s="43"/>
      <c r="C867" s="43"/>
      <c r="D867" s="43"/>
      <c r="E867" s="43"/>
      <c r="F867" s="43"/>
      <c r="G867" s="43"/>
    </row>
    <row r="868" spans="1:7" x14ac:dyDescent="0.2">
      <c r="A868" s="44"/>
      <c r="B868" s="44"/>
      <c r="C868" s="44"/>
      <c r="D868" s="44"/>
      <c r="E868" s="44"/>
      <c r="F868" s="44"/>
      <c r="G868" s="44"/>
    </row>
    <row r="869" spans="1:7" x14ac:dyDescent="0.2">
      <c r="A869" s="43"/>
      <c r="B869" s="43"/>
      <c r="C869" s="43"/>
      <c r="D869" s="43"/>
      <c r="E869" s="43"/>
      <c r="F869" s="43"/>
      <c r="G869" s="43"/>
    </row>
    <row r="870" spans="1:7" x14ac:dyDescent="0.2">
      <c r="A870" s="44"/>
      <c r="B870" s="44"/>
      <c r="C870" s="44"/>
      <c r="D870" s="44"/>
      <c r="E870" s="44"/>
      <c r="F870" s="44"/>
      <c r="G870" s="44"/>
    </row>
    <row r="871" spans="1:7" x14ac:dyDescent="0.2">
      <c r="A871" s="43"/>
      <c r="B871" s="43"/>
      <c r="C871" s="43"/>
      <c r="D871" s="43"/>
      <c r="E871" s="43"/>
      <c r="F871" s="43"/>
      <c r="G871" s="43"/>
    </row>
    <row r="872" spans="1:7" x14ac:dyDescent="0.2">
      <c r="A872" s="44"/>
      <c r="B872" s="44"/>
      <c r="C872" s="44"/>
      <c r="D872" s="44"/>
      <c r="E872" s="44"/>
      <c r="F872" s="44"/>
      <c r="G872" s="44"/>
    </row>
    <row r="873" spans="1:7" x14ac:dyDescent="0.2">
      <c r="A873" s="43"/>
      <c r="B873" s="43"/>
      <c r="C873" s="43"/>
      <c r="D873" s="43"/>
      <c r="E873" s="43"/>
      <c r="F873" s="43"/>
      <c r="G873" s="43"/>
    </row>
    <row r="874" spans="1:7" x14ac:dyDescent="0.2">
      <c r="A874" s="44"/>
      <c r="B874" s="44"/>
      <c r="C874" s="44"/>
      <c r="D874" s="44"/>
      <c r="E874" s="44"/>
      <c r="F874" s="44"/>
      <c r="G874" s="44"/>
    </row>
    <row r="875" spans="1:7" x14ac:dyDescent="0.2">
      <c r="A875" s="43"/>
      <c r="B875" s="43"/>
      <c r="C875" s="43"/>
      <c r="D875" s="43"/>
      <c r="E875" s="43"/>
      <c r="F875" s="43"/>
      <c r="G875" s="43"/>
    </row>
    <row r="876" spans="1:7" x14ac:dyDescent="0.2">
      <c r="A876" s="44"/>
      <c r="B876" s="44"/>
      <c r="C876" s="44"/>
      <c r="D876" s="44"/>
      <c r="E876" s="44"/>
      <c r="F876" s="44"/>
      <c r="G876" s="44"/>
    </row>
    <row r="877" spans="1:7" x14ac:dyDescent="0.2">
      <c r="A877" s="43"/>
      <c r="B877" s="43"/>
      <c r="C877" s="43"/>
      <c r="D877" s="43"/>
      <c r="E877" s="43"/>
      <c r="F877" s="43"/>
      <c r="G877" s="43"/>
    </row>
    <row r="878" spans="1:7" x14ac:dyDescent="0.2">
      <c r="A878" s="44"/>
      <c r="B878" s="44"/>
      <c r="C878" s="44"/>
      <c r="D878" s="44"/>
      <c r="E878" s="44"/>
      <c r="F878" s="44"/>
      <c r="G878" s="44"/>
    </row>
    <row r="879" spans="1:7" x14ac:dyDescent="0.2">
      <c r="A879" s="43"/>
      <c r="B879" s="43"/>
      <c r="C879" s="43"/>
      <c r="D879" s="43"/>
      <c r="E879" s="43"/>
      <c r="F879" s="43"/>
      <c r="G879" s="43"/>
    </row>
    <row r="880" spans="1:7" x14ac:dyDescent="0.2">
      <c r="A880" s="44"/>
      <c r="B880" s="44"/>
      <c r="C880" s="44"/>
      <c r="D880" s="44"/>
      <c r="E880" s="44"/>
      <c r="F880" s="44"/>
      <c r="G880" s="44"/>
    </row>
    <row r="881" spans="1:7" x14ac:dyDescent="0.2">
      <c r="A881" s="43"/>
      <c r="B881" s="43"/>
      <c r="C881" s="43"/>
      <c r="D881" s="43"/>
      <c r="E881" s="43"/>
      <c r="F881" s="43"/>
      <c r="G881" s="43"/>
    </row>
    <row r="882" spans="1:7" x14ac:dyDescent="0.2">
      <c r="A882" s="44"/>
      <c r="B882" s="44"/>
      <c r="C882" s="44"/>
      <c r="D882" s="44"/>
      <c r="E882" s="44"/>
      <c r="F882" s="44"/>
      <c r="G882" s="44"/>
    </row>
    <row r="883" spans="1:7" x14ac:dyDescent="0.2">
      <c r="A883" s="43"/>
      <c r="B883" s="43"/>
      <c r="C883" s="43"/>
      <c r="D883" s="43"/>
      <c r="E883" s="43"/>
      <c r="F883" s="43"/>
      <c r="G883" s="43"/>
    </row>
    <row r="884" spans="1:7" x14ac:dyDescent="0.2">
      <c r="A884" s="44"/>
      <c r="B884" s="44"/>
      <c r="C884" s="44"/>
      <c r="D884" s="44"/>
      <c r="E884" s="44"/>
      <c r="F884" s="44"/>
      <c r="G884" s="44"/>
    </row>
    <row r="885" spans="1:7" x14ac:dyDescent="0.2">
      <c r="A885" s="43"/>
      <c r="B885" s="43"/>
      <c r="C885" s="43"/>
      <c r="D885" s="43"/>
      <c r="E885" s="43"/>
      <c r="F885" s="43"/>
      <c r="G885" s="43"/>
    </row>
    <row r="886" spans="1:7" x14ac:dyDescent="0.2">
      <c r="A886" s="44"/>
      <c r="B886" s="44"/>
      <c r="C886" s="44"/>
      <c r="D886" s="44"/>
      <c r="E886" s="44"/>
      <c r="F886" s="44"/>
      <c r="G886" s="44"/>
    </row>
    <row r="887" spans="1:7" x14ac:dyDescent="0.2">
      <c r="A887" s="43"/>
      <c r="B887" s="43"/>
      <c r="C887" s="43"/>
      <c r="D887" s="43"/>
      <c r="E887" s="43"/>
      <c r="F887" s="43"/>
      <c r="G887" s="43"/>
    </row>
    <row r="888" spans="1:7" x14ac:dyDescent="0.2">
      <c r="A888" s="44"/>
      <c r="B888" s="44"/>
      <c r="C888" s="44"/>
      <c r="D888" s="44"/>
      <c r="E888" s="44"/>
      <c r="F888" s="44"/>
      <c r="G888" s="44"/>
    </row>
    <row r="889" spans="1:7" x14ac:dyDescent="0.2">
      <c r="A889" s="43"/>
      <c r="B889" s="43"/>
      <c r="C889" s="43"/>
      <c r="D889" s="43"/>
      <c r="E889" s="43"/>
      <c r="F889" s="43"/>
      <c r="G889" s="43"/>
    </row>
    <row r="890" spans="1:7" x14ac:dyDescent="0.2">
      <c r="A890" s="44"/>
      <c r="B890" s="44"/>
      <c r="C890" s="44"/>
      <c r="D890" s="44"/>
      <c r="E890" s="44"/>
      <c r="F890" s="44"/>
      <c r="G890" s="44"/>
    </row>
    <row r="891" spans="1:7" x14ac:dyDescent="0.2">
      <c r="A891" s="43"/>
      <c r="B891" s="43"/>
      <c r="C891" s="43"/>
      <c r="D891" s="43"/>
      <c r="E891" s="43"/>
      <c r="F891" s="43"/>
      <c r="G891" s="43"/>
    </row>
    <row r="892" spans="1:7" x14ac:dyDescent="0.2">
      <c r="A892" s="44"/>
      <c r="B892" s="44"/>
      <c r="C892" s="44"/>
      <c r="D892" s="44"/>
      <c r="E892" s="44"/>
      <c r="F892" s="44"/>
      <c r="G892" s="44"/>
    </row>
    <row r="893" spans="1:7" x14ac:dyDescent="0.2">
      <c r="A893" s="43"/>
      <c r="B893" s="43"/>
      <c r="C893" s="43"/>
      <c r="D893" s="43"/>
      <c r="E893" s="43"/>
      <c r="F893" s="43"/>
      <c r="G893" s="43"/>
    </row>
    <row r="894" spans="1:7" x14ac:dyDescent="0.2">
      <c r="A894" s="44"/>
      <c r="B894" s="44"/>
      <c r="C894" s="44"/>
      <c r="D894" s="44"/>
      <c r="E894" s="44"/>
      <c r="F894" s="44"/>
      <c r="G894" s="44"/>
    </row>
    <row r="895" spans="1:7" x14ac:dyDescent="0.2">
      <c r="A895" s="43"/>
      <c r="B895" s="43"/>
      <c r="C895" s="43"/>
      <c r="D895" s="43"/>
      <c r="E895" s="43"/>
      <c r="F895" s="43"/>
      <c r="G895" s="43"/>
    </row>
    <row r="896" spans="1:7" x14ac:dyDescent="0.2">
      <c r="A896" s="44"/>
      <c r="B896" s="44"/>
      <c r="C896" s="44"/>
      <c r="D896" s="44"/>
      <c r="E896" s="44"/>
      <c r="F896" s="44"/>
      <c r="G896" s="44"/>
    </row>
    <row r="897" spans="1:7" x14ac:dyDescent="0.2">
      <c r="A897" s="43"/>
      <c r="B897" s="43"/>
      <c r="C897" s="43"/>
      <c r="D897" s="43"/>
      <c r="E897" s="43"/>
      <c r="F897" s="43"/>
      <c r="G897" s="43"/>
    </row>
    <row r="898" spans="1:7" x14ac:dyDescent="0.2">
      <c r="A898" s="44"/>
      <c r="B898" s="44"/>
      <c r="C898" s="44"/>
      <c r="D898" s="44"/>
      <c r="E898" s="44"/>
      <c r="F898" s="44"/>
      <c r="G898" s="44"/>
    </row>
    <row r="899" spans="1:7" x14ac:dyDescent="0.2">
      <c r="A899" s="43"/>
      <c r="B899" s="43"/>
      <c r="C899" s="43"/>
      <c r="D899" s="43"/>
      <c r="E899" s="43"/>
      <c r="F899" s="43"/>
      <c r="G899" s="43"/>
    </row>
    <row r="900" spans="1:7" x14ac:dyDescent="0.2">
      <c r="A900" s="44"/>
      <c r="B900" s="44"/>
      <c r="C900" s="44"/>
      <c r="D900" s="44"/>
      <c r="E900" s="44"/>
      <c r="F900" s="44"/>
      <c r="G900" s="44"/>
    </row>
    <row r="901" spans="1:7" x14ac:dyDescent="0.2">
      <c r="A901" s="43"/>
      <c r="B901" s="43"/>
      <c r="C901" s="43"/>
      <c r="D901" s="43"/>
      <c r="E901" s="43"/>
      <c r="F901" s="43"/>
      <c r="G901" s="43"/>
    </row>
    <row r="902" spans="1:7" x14ac:dyDescent="0.2">
      <c r="A902" s="44"/>
      <c r="B902" s="44"/>
      <c r="C902" s="44"/>
      <c r="D902" s="44"/>
      <c r="E902" s="44"/>
      <c r="F902" s="44"/>
      <c r="G902" s="44"/>
    </row>
    <row r="903" spans="1:7" x14ac:dyDescent="0.2">
      <c r="A903" s="43"/>
      <c r="B903" s="43"/>
      <c r="C903" s="43"/>
      <c r="D903" s="43"/>
      <c r="E903" s="43"/>
      <c r="F903" s="43"/>
      <c r="G903" s="43"/>
    </row>
    <row r="904" spans="1:7" x14ac:dyDescent="0.2">
      <c r="A904" s="44"/>
      <c r="B904" s="44"/>
      <c r="C904" s="44"/>
      <c r="D904" s="44"/>
      <c r="E904" s="44"/>
      <c r="F904" s="44"/>
      <c r="G904" s="44"/>
    </row>
    <row r="905" spans="1:7" x14ac:dyDescent="0.2">
      <c r="A905" s="43"/>
      <c r="B905" s="43"/>
      <c r="C905" s="43"/>
      <c r="D905" s="43"/>
      <c r="E905" s="43"/>
      <c r="F905" s="43"/>
      <c r="G905" s="43"/>
    </row>
    <row r="906" spans="1:7" x14ac:dyDescent="0.2">
      <c r="A906" s="44"/>
      <c r="B906" s="44"/>
      <c r="C906" s="44"/>
      <c r="D906" s="44"/>
      <c r="E906" s="44"/>
      <c r="F906" s="44"/>
      <c r="G906" s="44"/>
    </row>
    <row r="907" spans="1:7" x14ac:dyDescent="0.2">
      <c r="A907" s="43"/>
      <c r="B907" s="43"/>
      <c r="C907" s="43"/>
      <c r="D907" s="43"/>
      <c r="E907" s="43"/>
      <c r="F907" s="43"/>
      <c r="G907" s="43"/>
    </row>
    <row r="908" spans="1:7" x14ac:dyDescent="0.2">
      <c r="A908" s="44"/>
      <c r="B908" s="44"/>
      <c r="C908" s="44"/>
      <c r="D908" s="44"/>
      <c r="E908" s="44"/>
      <c r="F908" s="44"/>
      <c r="G908" s="44"/>
    </row>
    <row r="909" spans="1:7" x14ac:dyDescent="0.2">
      <c r="A909" s="43"/>
      <c r="B909" s="43"/>
      <c r="C909" s="43"/>
      <c r="D909" s="43"/>
      <c r="E909" s="43"/>
      <c r="F909" s="43"/>
      <c r="G909" s="43"/>
    </row>
    <row r="910" spans="1:7" x14ac:dyDescent="0.2">
      <c r="A910" s="44"/>
      <c r="B910" s="44"/>
      <c r="C910" s="44"/>
      <c r="D910" s="44"/>
      <c r="E910" s="44"/>
      <c r="F910" s="44"/>
      <c r="G910" s="44"/>
    </row>
    <row r="911" spans="1:7" x14ac:dyDescent="0.2">
      <c r="A911" s="43"/>
      <c r="B911" s="43"/>
      <c r="C911" s="43"/>
      <c r="D911" s="43"/>
      <c r="E911" s="43"/>
      <c r="F911" s="43"/>
      <c r="G911" s="43"/>
    </row>
    <row r="912" spans="1:7" x14ac:dyDescent="0.2">
      <c r="A912" s="44"/>
      <c r="B912" s="44"/>
      <c r="C912" s="44"/>
      <c r="D912" s="44"/>
      <c r="E912" s="44"/>
      <c r="F912" s="44"/>
      <c r="G912" s="44"/>
    </row>
    <row r="913" spans="1:7" x14ac:dyDescent="0.2">
      <c r="A913" s="43"/>
      <c r="B913" s="43"/>
      <c r="C913" s="43"/>
      <c r="D913" s="43"/>
      <c r="E913" s="43"/>
      <c r="F913" s="43"/>
      <c r="G913" s="43"/>
    </row>
    <row r="914" spans="1:7" x14ac:dyDescent="0.2">
      <c r="A914" s="44"/>
      <c r="B914" s="44"/>
      <c r="C914" s="44"/>
      <c r="D914" s="44"/>
      <c r="E914" s="44"/>
      <c r="F914" s="44"/>
      <c r="G914" s="44"/>
    </row>
    <row r="915" spans="1:7" x14ac:dyDescent="0.2">
      <c r="A915" s="43"/>
      <c r="B915" s="43"/>
      <c r="C915" s="43"/>
      <c r="D915" s="43"/>
      <c r="E915" s="43"/>
      <c r="F915" s="43"/>
      <c r="G915" s="43"/>
    </row>
    <row r="916" spans="1:7" x14ac:dyDescent="0.2">
      <c r="A916" s="44"/>
      <c r="B916" s="44"/>
      <c r="C916" s="44"/>
      <c r="D916" s="44"/>
      <c r="E916" s="44"/>
      <c r="F916" s="44"/>
      <c r="G916" s="44"/>
    </row>
    <row r="917" spans="1:7" x14ac:dyDescent="0.2">
      <c r="A917" s="43"/>
      <c r="B917" s="43"/>
      <c r="C917" s="43"/>
      <c r="D917" s="43"/>
      <c r="E917" s="43"/>
      <c r="F917" s="43"/>
      <c r="G917" s="43"/>
    </row>
    <row r="918" spans="1:7" x14ac:dyDescent="0.2">
      <c r="A918" s="44"/>
      <c r="B918" s="44"/>
      <c r="C918" s="44"/>
      <c r="D918" s="44"/>
      <c r="E918" s="44"/>
      <c r="F918" s="44"/>
      <c r="G918" s="44"/>
    </row>
    <row r="919" spans="1:7" x14ac:dyDescent="0.2">
      <c r="A919" s="43"/>
      <c r="B919" s="43"/>
      <c r="C919" s="43"/>
      <c r="D919" s="43"/>
      <c r="E919" s="43"/>
      <c r="F919" s="43"/>
      <c r="G919" s="43"/>
    </row>
    <row r="920" spans="1:7" x14ac:dyDescent="0.2">
      <c r="A920" s="44"/>
      <c r="B920" s="44"/>
      <c r="C920" s="44"/>
      <c r="D920" s="44"/>
      <c r="E920" s="44"/>
      <c r="F920" s="44"/>
      <c r="G920" s="44"/>
    </row>
    <row r="921" spans="1:7" x14ac:dyDescent="0.2">
      <c r="A921" s="43"/>
      <c r="B921" s="43"/>
      <c r="C921" s="43"/>
      <c r="D921" s="43"/>
      <c r="E921" s="43"/>
      <c r="F921" s="43"/>
      <c r="G921" s="43"/>
    </row>
    <row r="922" spans="1:7" x14ac:dyDescent="0.2">
      <c r="A922" s="44"/>
      <c r="B922" s="44"/>
      <c r="C922" s="44"/>
      <c r="D922" s="44"/>
      <c r="E922" s="44"/>
      <c r="F922" s="44"/>
      <c r="G922" s="44"/>
    </row>
    <row r="923" spans="1:7" x14ac:dyDescent="0.2">
      <c r="A923" s="43"/>
      <c r="B923" s="43"/>
      <c r="C923" s="43"/>
      <c r="D923" s="43"/>
      <c r="E923" s="43"/>
      <c r="F923" s="43"/>
      <c r="G923" s="43"/>
    </row>
    <row r="924" spans="1:7" x14ac:dyDescent="0.2">
      <c r="A924" s="44"/>
      <c r="B924" s="44"/>
      <c r="C924" s="44"/>
      <c r="D924" s="44"/>
      <c r="E924" s="44"/>
      <c r="F924" s="44"/>
      <c r="G924" s="44"/>
    </row>
    <row r="925" spans="1:7" x14ac:dyDescent="0.2">
      <c r="A925" s="43"/>
      <c r="B925" s="43"/>
      <c r="C925" s="43"/>
      <c r="D925" s="43"/>
      <c r="E925" s="43"/>
      <c r="F925" s="43"/>
      <c r="G925" s="43"/>
    </row>
    <row r="926" spans="1:7" x14ac:dyDescent="0.2">
      <c r="A926" s="44"/>
      <c r="B926" s="44"/>
      <c r="C926" s="44"/>
      <c r="D926" s="44"/>
      <c r="E926" s="44"/>
      <c r="F926" s="44"/>
      <c r="G926" s="44"/>
    </row>
    <row r="927" spans="1:7" x14ac:dyDescent="0.2">
      <c r="A927" s="43"/>
      <c r="B927" s="43"/>
      <c r="C927" s="43"/>
      <c r="D927" s="43"/>
      <c r="E927" s="43"/>
      <c r="F927" s="43"/>
      <c r="G927" s="43"/>
    </row>
    <row r="928" spans="1:7" x14ac:dyDescent="0.2">
      <c r="A928" s="44"/>
      <c r="B928" s="44"/>
      <c r="C928" s="44"/>
      <c r="D928" s="44"/>
      <c r="E928" s="44"/>
      <c r="F928" s="44"/>
      <c r="G928" s="44"/>
    </row>
    <row r="929" spans="1:7" x14ac:dyDescent="0.2">
      <c r="A929" s="43"/>
      <c r="B929" s="43"/>
      <c r="C929" s="43"/>
      <c r="D929" s="43"/>
      <c r="E929" s="43"/>
      <c r="F929" s="43"/>
      <c r="G929" s="43"/>
    </row>
    <row r="930" spans="1:7" x14ac:dyDescent="0.2">
      <c r="A930" s="44"/>
      <c r="B930" s="44"/>
      <c r="C930" s="44"/>
      <c r="D930" s="44"/>
      <c r="E930" s="44"/>
      <c r="F930" s="44"/>
      <c r="G930" s="44"/>
    </row>
    <row r="931" spans="1:7" x14ac:dyDescent="0.2">
      <c r="A931" s="43"/>
      <c r="B931" s="43"/>
      <c r="C931" s="43"/>
      <c r="D931" s="43"/>
      <c r="E931" s="43"/>
      <c r="F931" s="43"/>
      <c r="G931" s="43"/>
    </row>
    <row r="932" spans="1:7" x14ac:dyDescent="0.2">
      <c r="A932" s="44"/>
      <c r="B932" s="44"/>
      <c r="C932" s="44"/>
      <c r="D932" s="44"/>
      <c r="E932" s="44"/>
      <c r="F932" s="44"/>
      <c r="G932" s="44"/>
    </row>
    <row r="933" spans="1:7" x14ac:dyDescent="0.2">
      <c r="A933" s="43"/>
      <c r="B933" s="43"/>
      <c r="C933" s="43"/>
      <c r="D933" s="43"/>
      <c r="E933" s="43"/>
      <c r="F933" s="43"/>
      <c r="G933" s="43"/>
    </row>
    <row r="934" spans="1:7" x14ac:dyDescent="0.2">
      <c r="A934" s="44"/>
      <c r="B934" s="44"/>
      <c r="C934" s="44"/>
      <c r="D934" s="44"/>
      <c r="E934" s="44"/>
      <c r="F934" s="44"/>
      <c r="G934" s="44"/>
    </row>
    <row r="935" spans="1:7" x14ac:dyDescent="0.2">
      <c r="A935" s="43"/>
      <c r="B935" s="43"/>
      <c r="C935" s="43"/>
      <c r="D935" s="43"/>
      <c r="E935" s="43"/>
      <c r="F935" s="43"/>
      <c r="G935" s="43"/>
    </row>
    <row r="936" spans="1:7" x14ac:dyDescent="0.2">
      <c r="A936" s="44"/>
      <c r="B936" s="44"/>
      <c r="C936" s="44"/>
      <c r="D936" s="44"/>
      <c r="E936" s="44"/>
      <c r="F936" s="44"/>
      <c r="G936" s="44"/>
    </row>
    <row r="937" spans="1:7" x14ac:dyDescent="0.2">
      <c r="A937" s="43"/>
      <c r="B937" s="43"/>
      <c r="C937" s="43"/>
      <c r="D937" s="43"/>
      <c r="E937" s="43"/>
      <c r="F937" s="43"/>
      <c r="G937" s="43"/>
    </row>
    <row r="938" spans="1:7" x14ac:dyDescent="0.2">
      <c r="A938" s="44"/>
      <c r="B938" s="44"/>
      <c r="C938" s="44"/>
      <c r="D938" s="44"/>
      <c r="E938" s="44"/>
      <c r="F938" s="44"/>
      <c r="G938" s="44"/>
    </row>
    <row r="939" spans="1:7" x14ac:dyDescent="0.2">
      <c r="A939" s="43"/>
      <c r="B939" s="43"/>
      <c r="C939" s="43"/>
      <c r="D939" s="43"/>
      <c r="E939" s="43"/>
      <c r="F939" s="43"/>
      <c r="G939" s="43"/>
    </row>
    <row r="940" spans="1:7" x14ac:dyDescent="0.2">
      <c r="A940" s="44"/>
      <c r="B940" s="44"/>
      <c r="C940" s="44"/>
      <c r="D940" s="44"/>
      <c r="E940" s="44"/>
      <c r="F940" s="44"/>
      <c r="G940" s="44"/>
    </row>
    <row r="941" spans="1:7" x14ac:dyDescent="0.2">
      <c r="A941" s="43"/>
      <c r="B941" s="43"/>
      <c r="C941" s="43"/>
      <c r="D941" s="43"/>
      <c r="E941" s="43"/>
      <c r="F941" s="43"/>
      <c r="G941" s="43"/>
    </row>
    <row r="942" spans="1:7" x14ac:dyDescent="0.2">
      <c r="A942" s="44"/>
      <c r="B942" s="44"/>
      <c r="C942" s="44"/>
      <c r="D942" s="44"/>
      <c r="E942" s="44"/>
      <c r="F942" s="44"/>
      <c r="G942" s="44"/>
    </row>
    <row r="943" spans="1:7" x14ac:dyDescent="0.2">
      <c r="A943" s="43"/>
      <c r="B943" s="43"/>
      <c r="C943" s="43"/>
      <c r="D943" s="43"/>
      <c r="E943" s="43"/>
      <c r="F943" s="43"/>
      <c r="G943" s="43"/>
    </row>
    <row r="944" spans="1:7" x14ac:dyDescent="0.2">
      <c r="A944" s="44"/>
      <c r="B944" s="44"/>
      <c r="C944" s="44"/>
      <c r="D944" s="44"/>
      <c r="E944" s="44"/>
      <c r="F944" s="44"/>
      <c r="G944" s="44"/>
    </row>
    <row r="945" spans="1:7" x14ac:dyDescent="0.2">
      <c r="A945" s="43"/>
      <c r="B945" s="43"/>
      <c r="C945" s="43"/>
      <c r="D945" s="43"/>
      <c r="E945" s="43"/>
      <c r="F945" s="43"/>
      <c r="G945" s="43"/>
    </row>
    <row r="946" spans="1:7" x14ac:dyDescent="0.2">
      <c r="A946" s="44"/>
      <c r="B946" s="44"/>
      <c r="C946" s="44"/>
      <c r="D946" s="44"/>
      <c r="E946" s="44"/>
      <c r="F946" s="44"/>
      <c r="G946" s="44"/>
    </row>
    <row r="947" spans="1:7" x14ac:dyDescent="0.2">
      <c r="A947" s="43"/>
      <c r="B947" s="43"/>
      <c r="C947" s="43"/>
      <c r="D947" s="43"/>
      <c r="E947" s="43"/>
      <c r="F947" s="43"/>
      <c r="G947" s="43"/>
    </row>
    <row r="948" spans="1:7" x14ac:dyDescent="0.2">
      <c r="A948" s="44"/>
      <c r="B948" s="44"/>
      <c r="C948" s="44"/>
      <c r="D948" s="44"/>
      <c r="E948" s="44"/>
      <c r="F948" s="44"/>
      <c r="G948" s="44"/>
    </row>
    <row r="949" spans="1:7" x14ac:dyDescent="0.2">
      <c r="A949" s="43"/>
      <c r="B949" s="43"/>
      <c r="C949" s="43"/>
      <c r="D949" s="43"/>
      <c r="E949" s="43"/>
      <c r="F949" s="43"/>
      <c r="G949" s="43"/>
    </row>
    <row r="950" spans="1:7" x14ac:dyDescent="0.2">
      <c r="A950" s="44"/>
      <c r="B950" s="44"/>
      <c r="C950" s="44"/>
      <c r="D950" s="44"/>
      <c r="E950" s="44"/>
      <c r="F950" s="44"/>
      <c r="G950" s="44"/>
    </row>
    <row r="951" spans="1:7" x14ac:dyDescent="0.2">
      <c r="A951" s="43"/>
      <c r="B951" s="43"/>
      <c r="C951" s="43"/>
      <c r="D951" s="43"/>
      <c r="E951" s="43"/>
      <c r="F951" s="43"/>
      <c r="G951" s="43"/>
    </row>
    <row r="952" spans="1:7" x14ac:dyDescent="0.2">
      <c r="A952" s="44"/>
      <c r="B952" s="44"/>
      <c r="C952" s="44"/>
      <c r="D952" s="44"/>
      <c r="E952" s="44"/>
      <c r="F952" s="44"/>
      <c r="G952" s="44"/>
    </row>
    <row r="953" spans="1:7" x14ac:dyDescent="0.2">
      <c r="A953" s="43"/>
      <c r="B953" s="43"/>
      <c r="C953" s="43"/>
      <c r="D953" s="43"/>
      <c r="E953" s="43"/>
      <c r="F953" s="43"/>
      <c r="G953" s="43"/>
    </row>
    <row r="954" spans="1:7" x14ac:dyDescent="0.2">
      <c r="A954" s="44"/>
      <c r="B954" s="44"/>
      <c r="C954" s="44"/>
      <c r="D954" s="44"/>
      <c r="E954" s="44"/>
      <c r="F954" s="44"/>
      <c r="G954" s="44"/>
    </row>
    <row r="955" spans="1:7" x14ac:dyDescent="0.2">
      <c r="A955" s="43"/>
      <c r="B955" s="43"/>
      <c r="C955" s="43"/>
      <c r="D955" s="43"/>
      <c r="E955" s="43"/>
      <c r="F955" s="43"/>
      <c r="G955" s="43"/>
    </row>
    <row r="956" spans="1:7" x14ac:dyDescent="0.2">
      <c r="A956" s="44"/>
      <c r="B956" s="44"/>
      <c r="C956" s="44"/>
      <c r="D956" s="44"/>
      <c r="E956" s="44"/>
      <c r="F956" s="44"/>
      <c r="G956" s="44"/>
    </row>
    <row r="957" spans="1:7" x14ac:dyDescent="0.2">
      <c r="A957" s="43"/>
      <c r="B957" s="43"/>
      <c r="C957" s="43"/>
      <c r="D957" s="43"/>
      <c r="E957" s="43"/>
      <c r="F957" s="43"/>
      <c r="G957" s="43"/>
    </row>
    <row r="958" spans="1:7" x14ac:dyDescent="0.2">
      <c r="A958" s="44"/>
      <c r="B958" s="44"/>
      <c r="C958" s="44"/>
      <c r="D958" s="44"/>
      <c r="E958" s="44"/>
      <c r="F958" s="44"/>
      <c r="G958" s="44"/>
    </row>
    <row r="959" spans="1:7" x14ac:dyDescent="0.2">
      <c r="A959" s="43"/>
      <c r="B959" s="43"/>
      <c r="C959" s="43"/>
      <c r="D959" s="43"/>
      <c r="E959" s="43"/>
      <c r="F959" s="43"/>
      <c r="G959" s="43"/>
    </row>
    <row r="960" spans="1:7" x14ac:dyDescent="0.2">
      <c r="A960" s="44"/>
      <c r="B960" s="44"/>
      <c r="C960" s="44"/>
      <c r="D960" s="44"/>
      <c r="E960" s="44"/>
      <c r="F960" s="44"/>
      <c r="G960" s="44"/>
    </row>
    <row r="961" spans="1:7" x14ac:dyDescent="0.2">
      <c r="A961" s="43"/>
      <c r="B961" s="43"/>
      <c r="C961" s="43"/>
      <c r="D961" s="43"/>
      <c r="E961" s="43"/>
      <c r="F961" s="43"/>
      <c r="G961" s="43"/>
    </row>
    <row r="962" spans="1:7" x14ac:dyDescent="0.2">
      <c r="A962" s="44"/>
      <c r="B962" s="44"/>
      <c r="C962" s="44"/>
      <c r="D962" s="44"/>
      <c r="E962" s="44"/>
      <c r="F962" s="44"/>
      <c r="G962" s="44"/>
    </row>
    <row r="963" spans="1:7" x14ac:dyDescent="0.2">
      <c r="A963" s="43"/>
      <c r="B963" s="43"/>
      <c r="C963" s="43"/>
      <c r="D963" s="43"/>
      <c r="E963" s="43"/>
      <c r="F963" s="43"/>
      <c r="G963" s="43"/>
    </row>
    <row r="964" spans="1:7" x14ac:dyDescent="0.2">
      <c r="A964" s="44"/>
      <c r="B964" s="44"/>
      <c r="C964" s="44"/>
      <c r="D964" s="44"/>
      <c r="E964" s="44"/>
      <c r="F964" s="44"/>
      <c r="G964" s="44"/>
    </row>
    <row r="965" spans="1:7" x14ac:dyDescent="0.2">
      <c r="A965" s="43"/>
      <c r="B965" s="43"/>
      <c r="C965" s="43"/>
      <c r="D965" s="43"/>
      <c r="E965" s="43"/>
      <c r="F965" s="43"/>
      <c r="G965" s="43"/>
    </row>
    <row r="966" spans="1:7" x14ac:dyDescent="0.2">
      <c r="A966" s="44"/>
      <c r="B966" s="44"/>
      <c r="C966" s="44"/>
      <c r="D966" s="44"/>
      <c r="E966" s="44"/>
      <c r="F966" s="44"/>
      <c r="G966" s="44"/>
    </row>
    <row r="967" spans="1:7" x14ac:dyDescent="0.2">
      <c r="A967" s="43"/>
      <c r="B967" s="43"/>
      <c r="C967" s="43"/>
      <c r="D967" s="43"/>
      <c r="E967" s="43"/>
      <c r="F967" s="43"/>
      <c r="G967" s="43"/>
    </row>
    <row r="968" spans="1:7" x14ac:dyDescent="0.2">
      <c r="A968" s="44"/>
      <c r="B968" s="44"/>
      <c r="C968" s="44"/>
      <c r="D968" s="44"/>
      <c r="E968" s="44"/>
      <c r="F968" s="44"/>
      <c r="G968" s="44"/>
    </row>
    <row r="969" spans="1:7" x14ac:dyDescent="0.2">
      <c r="A969" s="43"/>
      <c r="B969" s="43"/>
      <c r="C969" s="43"/>
      <c r="D969" s="43"/>
      <c r="E969" s="43"/>
      <c r="F969" s="43"/>
      <c r="G969" s="43"/>
    </row>
    <row r="970" spans="1:7" x14ac:dyDescent="0.2">
      <c r="A970" s="44"/>
      <c r="B970" s="44"/>
      <c r="C970" s="44"/>
      <c r="D970" s="44"/>
      <c r="E970" s="44"/>
      <c r="F970" s="44"/>
      <c r="G970" s="44"/>
    </row>
    <row r="971" spans="1:7" x14ac:dyDescent="0.2">
      <c r="A971" s="43"/>
      <c r="B971" s="43"/>
      <c r="C971" s="43"/>
      <c r="D971" s="43"/>
      <c r="E971" s="43"/>
      <c r="F971" s="43"/>
      <c r="G971" s="43"/>
    </row>
    <row r="972" spans="1:7" x14ac:dyDescent="0.2">
      <c r="A972" s="44"/>
      <c r="B972" s="44"/>
      <c r="C972" s="44"/>
      <c r="D972" s="44"/>
      <c r="E972" s="44"/>
      <c r="F972" s="44"/>
      <c r="G972" s="44"/>
    </row>
    <row r="973" spans="1:7" x14ac:dyDescent="0.2">
      <c r="A973" s="43"/>
      <c r="B973" s="43"/>
      <c r="C973" s="43"/>
      <c r="D973" s="43"/>
      <c r="E973" s="43"/>
      <c r="F973" s="43"/>
      <c r="G973" s="43"/>
    </row>
    <row r="974" spans="1:7" x14ac:dyDescent="0.2">
      <c r="A974" s="44"/>
      <c r="B974" s="44"/>
      <c r="C974" s="44"/>
      <c r="D974" s="44"/>
      <c r="E974" s="44"/>
      <c r="F974" s="44"/>
      <c r="G974" s="44"/>
    </row>
    <row r="975" spans="1:7" x14ac:dyDescent="0.2">
      <c r="A975" s="43"/>
      <c r="B975" s="43"/>
      <c r="C975" s="43"/>
      <c r="D975" s="43"/>
      <c r="E975" s="43"/>
      <c r="F975" s="43"/>
      <c r="G975" s="43"/>
    </row>
    <row r="976" spans="1:7" x14ac:dyDescent="0.2">
      <c r="A976" s="44"/>
      <c r="B976" s="44"/>
      <c r="C976" s="44"/>
      <c r="D976" s="44"/>
      <c r="E976" s="44"/>
      <c r="F976" s="44"/>
      <c r="G976" s="44"/>
    </row>
    <row r="977" spans="1:7" x14ac:dyDescent="0.2">
      <c r="A977" s="43"/>
      <c r="B977" s="43"/>
      <c r="C977" s="43"/>
      <c r="D977" s="43"/>
      <c r="E977" s="43"/>
      <c r="F977" s="43"/>
      <c r="G977" s="43"/>
    </row>
    <row r="978" spans="1:7" x14ac:dyDescent="0.2">
      <c r="A978" s="44"/>
      <c r="B978" s="44"/>
      <c r="C978" s="44"/>
      <c r="D978" s="44"/>
      <c r="E978" s="44"/>
      <c r="F978" s="44"/>
      <c r="G978" s="44"/>
    </row>
    <row r="979" spans="1:7" x14ac:dyDescent="0.2">
      <c r="A979" s="43"/>
      <c r="B979" s="43"/>
      <c r="C979" s="43"/>
      <c r="D979" s="43"/>
      <c r="E979" s="43"/>
      <c r="F979" s="43"/>
      <c r="G979" s="43"/>
    </row>
    <row r="980" spans="1:7" x14ac:dyDescent="0.2">
      <c r="A980" s="44"/>
      <c r="B980" s="44"/>
      <c r="C980" s="44"/>
      <c r="D980" s="44"/>
      <c r="E980" s="44"/>
      <c r="F980" s="44"/>
      <c r="G980" s="44"/>
    </row>
    <row r="981" spans="1:7" x14ac:dyDescent="0.2">
      <c r="A981" s="43"/>
      <c r="B981" s="43"/>
      <c r="C981" s="43"/>
      <c r="D981" s="43"/>
      <c r="E981" s="43"/>
      <c r="F981" s="43"/>
      <c r="G981" s="43"/>
    </row>
    <row r="982" spans="1:7" x14ac:dyDescent="0.2">
      <c r="A982" s="44"/>
      <c r="B982" s="44"/>
      <c r="C982" s="44"/>
      <c r="D982" s="44"/>
      <c r="E982" s="44"/>
      <c r="F982" s="44"/>
      <c r="G982" s="44"/>
    </row>
    <row r="983" spans="1:7" x14ac:dyDescent="0.2">
      <c r="A983" s="43"/>
      <c r="B983" s="43"/>
      <c r="C983" s="43"/>
      <c r="D983" s="43"/>
      <c r="E983" s="43"/>
      <c r="F983" s="43"/>
      <c r="G983" s="43"/>
    </row>
    <row r="984" spans="1:7" x14ac:dyDescent="0.2">
      <c r="A984" s="44"/>
      <c r="B984" s="44"/>
      <c r="C984" s="44"/>
      <c r="D984" s="44"/>
      <c r="E984" s="44"/>
      <c r="F984" s="44"/>
      <c r="G984" s="44"/>
    </row>
    <row r="985" spans="1:7" x14ac:dyDescent="0.2">
      <c r="A985" s="43"/>
      <c r="B985" s="43"/>
      <c r="C985" s="43"/>
      <c r="D985" s="43"/>
      <c r="E985" s="43"/>
      <c r="F985" s="43"/>
      <c r="G985" s="43"/>
    </row>
    <row r="986" spans="1:7" x14ac:dyDescent="0.2">
      <c r="A986" s="44"/>
      <c r="B986" s="44"/>
      <c r="C986" s="44"/>
      <c r="D986" s="44"/>
      <c r="E986" s="44"/>
      <c r="F986" s="44"/>
      <c r="G986" s="44"/>
    </row>
    <row r="987" spans="1:7" x14ac:dyDescent="0.2">
      <c r="A987" s="43"/>
      <c r="B987" s="43"/>
      <c r="C987" s="43"/>
      <c r="D987" s="43"/>
      <c r="E987" s="43"/>
      <c r="F987" s="43"/>
      <c r="G987" s="43"/>
    </row>
    <row r="988" spans="1:7" x14ac:dyDescent="0.2">
      <c r="A988" s="44"/>
      <c r="B988" s="44"/>
      <c r="C988" s="44"/>
      <c r="D988" s="44"/>
      <c r="E988" s="44"/>
      <c r="F988" s="44"/>
      <c r="G988" s="44"/>
    </row>
    <row r="989" spans="1:7" x14ac:dyDescent="0.2">
      <c r="A989" s="43"/>
      <c r="B989" s="43"/>
      <c r="C989" s="43"/>
      <c r="D989" s="43"/>
      <c r="E989" s="43"/>
      <c r="F989" s="43"/>
      <c r="G989" s="43"/>
    </row>
    <row r="990" spans="1:7" x14ac:dyDescent="0.2">
      <c r="A990" s="44"/>
      <c r="B990" s="44"/>
      <c r="C990" s="44"/>
      <c r="D990" s="44"/>
      <c r="E990" s="44"/>
      <c r="F990" s="44"/>
      <c r="G990" s="44"/>
    </row>
    <row r="991" spans="1:7" x14ac:dyDescent="0.2">
      <c r="A991" s="43"/>
      <c r="B991" s="43"/>
      <c r="C991" s="43"/>
      <c r="D991" s="43"/>
      <c r="E991" s="43"/>
      <c r="F991" s="43"/>
      <c r="G991" s="43"/>
    </row>
    <row r="992" spans="1:7" x14ac:dyDescent="0.2">
      <c r="A992" s="44"/>
      <c r="B992" s="44"/>
      <c r="C992" s="44"/>
      <c r="D992" s="44"/>
      <c r="E992" s="44"/>
      <c r="F992" s="44"/>
      <c r="G992" s="44"/>
    </row>
    <row r="993" spans="1:7" x14ac:dyDescent="0.2">
      <c r="A993" s="43"/>
      <c r="B993" s="43"/>
      <c r="C993" s="43"/>
      <c r="D993" s="43"/>
      <c r="E993" s="43"/>
      <c r="F993" s="43"/>
      <c r="G993" s="43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V1007"/>
  <sheetViews>
    <sheetView topLeftCell="A4" workbookViewId="0">
      <selection activeCell="J9" sqref="J9"/>
    </sheetView>
  </sheetViews>
  <sheetFormatPr baseColWidth="10" defaultColWidth="8.6640625" defaultRowHeight="15" x14ac:dyDescent="0.2"/>
  <cols>
    <col min="1" max="1" width="12.83203125" style="41" bestFit="1" customWidth="1"/>
    <col min="2" max="16384" width="8.6640625" style="41"/>
  </cols>
  <sheetData>
    <row r="1" spans="1:22" x14ac:dyDescent="0.2">
      <c r="A1" s="40" t="s">
        <v>105</v>
      </c>
      <c r="B1" s="40" t="s">
        <v>139</v>
      </c>
      <c r="G1" s="42" t="s">
        <v>111</v>
      </c>
    </row>
    <row r="3" spans="1:22" x14ac:dyDescent="0.2">
      <c r="A3" s="42" t="s">
        <v>106</v>
      </c>
    </row>
    <row r="4" spans="1:22" x14ac:dyDescent="0.2">
      <c r="A4" s="43" t="s">
        <v>86</v>
      </c>
      <c r="B4" s="43" t="s">
        <v>112</v>
      </c>
      <c r="C4" s="43" t="s">
        <v>113</v>
      </c>
      <c r="D4" s="43" t="s">
        <v>114</v>
      </c>
      <c r="E4" s="43"/>
      <c r="F4" s="43"/>
      <c r="G4" s="43"/>
      <c r="H4" s="43"/>
      <c r="I4" s="43"/>
      <c r="J4" s="43"/>
      <c r="K4" s="43"/>
      <c r="L4" s="43"/>
    </row>
    <row r="5" spans="1:22" x14ac:dyDescent="0.2">
      <c r="A5" s="42" t="s">
        <v>107</v>
      </c>
      <c r="R5" s="41" t="s">
        <v>312</v>
      </c>
    </row>
    <row r="6" spans="1:22" x14ac:dyDescent="0.2">
      <c r="A6" s="45" t="s">
        <v>108</v>
      </c>
      <c r="B6" s="44"/>
      <c r="C6" s="44" t="s">
        <v>110</v>
      </c>
      <c r="D6" s="44"/>
      <c r="E6" s="44"/>
      <c r="F6" s="44"/>
      <c r="G6" s="44"/>
      <c r="H6" s="44"/>
      <c r="I6" s="44"/>
      <c r="J6" s="44"/>
      <c r="K6" s="44"/>
      <c r="L6" s="44"/>
    </row>
    <row r="8" spans="1:22" x14ac:dyDescent="0.2">
      <c r="A8" s="40" t="s">
        <v>86</v>
      </c>
      <c r="B8" s="40" t="s">
        <v>112</v>
      </c>
      <c r="C8" s="40" t="s">
        <v>113</v>
      </c>
      <c r="D8" s="40" t="s">
        <v>114</v>
      </c>
      <c r="E8" s="40" t="s">
        <v>139</v>
      </c>
      <c r="F8" s="40" t="s">
        <v>108</v>
      </c>
      <c r="G8" s="40" t="s">
        <v>110</v>
      </c>
      <c r="J8" s="42" t="s">
        <v>115</v>
      </c>
      <c r="R8" s="41" t="s">
        <v>308</v>
      </c>
      <c r="S8" s="41" t="s">
        <v>311</v>
      </c>
    </row>
    <row r="9" spans="1:22" x14ac:dyDescent="0.2">
      <c r="A9" s="44">
        <v>2004</v>
      </c>
      <c r="B9" s="44" t="s">
        <v>351</v>
      </c>
      <c r="C9" s="44" t="s">
        <v>44</v>
      </c>
      <c r="D9" s="44" t="s">
        <v>313</v>
      </c>
      <c r="E9" s="44">
        <v>3127</v>
      </c>
      <c r="F9" s="44"/>
      <c r="G9" s="44">
        <v>625</v>
      </c>
      <c r="I9" s="41">
        <f t="shared" ref="I9:I20" si="0">E9+E21</f>
        <v>8676</v>
      </c>
      <c r="J9" s="41" t="s">
        <v>369</v>
      </c>
      <c r="O9" s="41">
        <f>ROUND(E9*0.2,0)</f>
        <v>625</v>
      </c>
      <c r="S9" s="41" t="s">
        <v>309</v>
      </c>
      <c r="V9" s="41" t="s">
        <v>310</v>
      </c>
    </row>
    <row r="10" spans="1:22" x14ac:dyDescent="0.2">
      <c r="A10" s="43">
        <v>2005</v>
      </c>
      <c r="B10" s="44" t="s">
        <v>351</v>
      </c>
      <c r="C10" s="43" t="s">
        <v>44</v>
      </c>
      <c r="D10" s="43" t="s">
        <v>313</v>
      </c>
      <c r="E10" s="43">
        <v>8794</v>
      </c>
      <c r="F10" s="43"/>
      <c r="G10" s="43">
        <v>1759</v>
      </c>
      <c r="I10" s="41">
        <f t="shared" si="0"/>
        <v>24433</v>
      </c>
      <c r="O10" s="41">
        <f t="shared" ref="O10:O20" si="1">ROUND(E10*0.2,0)</f>
        <v>1759</v>
      </c>
      <c r="Q10" s="41">
        <v>2004</v>
      </c>
      <c r="R10" s="41" t="s">
        <v>351</v>
      </c>
      <c r="S10" s="41" t="s">
        <v>44</v>
      </c>
      <c r="T10" s="41" t="s">
        <v>313</v>
      </c>
      <c r="U10" s="41">
        <f>ROUND(V10,0)</f>
        <v>3127</v>
      </c>
      <c r="V10" s="41">
        <v>3127.2947730982287</v>
      </c>
    </row>
    <row r="11" spans="1:22" x14ac:dyDescent="0.2">
      <c r="A11" s="44">
        <v>2006</v>
      </c>
      <c r="B11" s="44" t="s">
        <v>351</v>
      </c>
      <c r="C11" s="44" t="s">
        <v>44</v>
      </c>
      <c r="D11" s="44" t="s">
        <v>313</v>
      </c>
      <c r="E11" s="44">
        <v>18592</v>
      </c>
      <c r="F11" s="44"/>
      <c r="G11" s="44">
        <v>3718</v>
      </c>
      <c r="I11" s="41">
        <f t="shared" si="0"/>
        <v>52163</v>
      </c>
      <c r="O11" s="41">
        <f t="shared" si="1"/>
        <v>3718</v>
      </c>
      <c r="Q11" s="41">
        <v>2005</v>
      </c>
      <c r="R11" s="41" t="s">
        <v>351</v>
      </c>
      <c r="S11" s="41" t="s">
        <v>44</v>
      </c>
      <c r="T11" s="41" t="s">
        <v>313</v>
      </c>
      <c r="U11" s="41">
        <f t="shared" ref="U11:U34" si="2">ROUND(V11,0)</f>
        <v>8794</v>
      </c>
      <c r="V11" s="41">
        <v>8793.5658914214164</v>
      </c>
    </row>
    <row r="12" spans="1:22" x14ac:dyDescent="0.2">
      <c r="A12" s="43">
        <v>2007</v>
      </c>
      <c r="B12" s="44" t="s">
        <v>351</v>
      </c>
      <c r="C12" s="43" t="s">
        <v>44</v>
      </c>
      <c r="D12" s="43" t="s">
        <v>313</v>
      </c>
      <c r="E12" s="43">
        <v>31969</v>
      </c>
      <c r="F12" s="43"/>
      <c r="G12" s="43">
        <v>6394</v>
      </c>
      <c r="I12" s="41">
        <f t="shared" si="0"/>
        <v>89875</v>
      </c>
      <c r="O12" s="41">
        <f t="shared" si="1"/>
        <v>6394</v>
      </c>
      <c r="Q12" s="41">
        <v>2006</v>
      </c>
      <c r="R12" s="41" t="s">
        <v>351</v>
      </c>
      <c r="S12" s="41" t="s">
        <v>44</v>
      </c>
      <c r="T12" s="41" t="s">
        <v>313</v>
      </c>
      <c r="U12" s="41">
        <f t="shared" si="2"/>
        <v>18592</v>
      </c>
      <c r="V12" s="41">
        <v>18592.110741862423</v>
      </c>
    </row>
    <row r="13" spans="1:22" x14ac:dyDescent="0.2">
      <c r="A13" s="44">
        <v>2008</v>
      </c>
      <c r="B13" s="44" t="s">
        <v>351</v>
      </c>
      <c r="C13" s="44" t="s">
        <v>44</v>
      </c>
      <c r="D13" s="44" t="s">
        <v>313</v>
      </c>
      <c r="E13" s="44">
        <v>49194</v>
      </c>
      <c r="F13" s="44"/>
      <c r="G13" s="44">
        <v>9839</v>
      </c>
      <c r="I13" s="41">
        <f t="shared" si="0"/>
        <v>136677</v>
      </c>
      <c r="O13" s="41">
        <f t="shared" si="1"/>
        <v>9839</v>
      </c>
      <c r="Q13" s="41">
        <v>2007</v>
      </c>
      <c r="R13" s="41" t="s">
        <v>351</v>
      </c>
      <c r="S13" s="41" t="s">
        <v>44</v>
      </c>
      <c r="T13" s="41" t="s">
        <v>313</v>
      </c>
      <c r="U13" s="41">
        <f t="shared" si="2"/>
        <v>31969</v>
      </c>
      <c r="V13" s="41">
        <v>31968.942475893367</v>
      </c>
    </row>
    <row r="14" spans="1:22" x14ac:dyDescent="0.2">
      <c r="A14" s="43">
        <v>2009</v>
      </c>
      <c r="B14" s="44" t="s">
        <v>351</v>
      </c>
      <c r="C14" s="43" t="s">
        <v>44</v>
      </c>
      <c r="D14" s="43" t="s">
        <v>313</v>
      </c>
      <c r="E14" s="43">
        <v>101852</v>
      </c>
      <c r="F14" s="43"/>
      <c r="G14" s="43">
        <v>20370</v>
      </c>
      <c r="I14" s="41">
        <f t="shared" si="0"/>
        <v>278162</v>
      </c>
      <c r="O14" s="41">
        <f t="shared" si="1"/>
        <v>20370</v>
      </c>
      <c r="Q14" s="41">
        <v>2008</v>
      </c>
      <c r="R14" s="41" t="s">
        <v>351</v>
      </c>
      <c r="S14" s="41" t="s">
        <v>44</v>
      </c>
      <c r="T14" s="41" t="s">
        <v>313</v>
      </c>
      <c r="U14" s="41">
        <f t="shared" si="2"/>
        <v>49194</v>
      </c>
      <c r="V14" s="41">
        <v>49194.032149275728</v>
      </c>
    </row>
    <row r="15" spans="1:22" x14ac:dyDescent="0.2">
      <c r="A15" s="44">
        <v>2010</v>
      </c>
      <c r="B15" s="44" t="s">
        <v>351</v>
      </c>
      <c r="C15" s="44" t="s">
        <v>44</v>
      </c>
      <c r="D15" s="44" t="s">
        <v>313</v>
      </c>
      <c r="E15" s="44">
        <v>126064</v>
      </c>
      <c r="F15" s="44"/>
      <c r="G15" s="44">
        <v>25213</v>
      </c>
      <c r="I15" s="41">
        <f t="shared" si="0"/>
        <v>343924</v>
      </c>
      <c r="O15" s="41">
        <f t="shared" si="1"/>
        <v>25213</v>
      </c>
      <c r="Q15" s="41">
        <v>2009</v>
      </c>
      <c r="R15" s="41" t="s">
        <v>351</v>
      </c>
      <c r="S15" s="41" t="s">
        <v>44</v>
      </c>
      <c r="T15" s="41" t="s">
        <v>313</v>
      </c>
      <c r="U15" s="41">
        <f t="shared" si="2"/>
        <v>101852</v>
      </c>
      <c r="V15" s="41">
        <v>101852.43275976805</v>
      </c>
    </row>
    <row r="16" spans="1:22" x14ac:dyDescent="0.2">
      <c r="A16" s="43">
        <v>2011</v>
      </c>
      <c r="B16" s="44" t="s">
        <v>351</v>
      </c>
      <c r="C16" s="43" t="s">
        <v>44</v>
      </c>
      <c r="D16" s="43" t="s">
        <v>313</v>
      </c>
      <c r="E16" s="43">
        <v>118970</v>
      </c>
      <c r="F16" s="43"/>
      <c r="G16" s="43">
        <v>23794</v>
      </c>
      <c r="I16" s="41">
        <f t="shared" si="0"/>
        <v>326377</v>
      </c>
      <c r="O16" s="41">
        <f t="shared" si="1"/>
        <v>23794</v>
      </c>
      <c r="Q16" s="41">
        <v>2010</v>
      </c>
      <c r="R16" s="41" t="s">
        <v>351</v>
      </c>
      <c r="S16" s="41" t="s">
        <v>44</v>
      </c>
      <c r="T16" s="41" t="s">
        <v>313</v>
      </c>
      <c r="U16" s="41">
        <f t="shared" si="2"/>
        <v>126064</v>
      </c>
      <c r="V16" s="41">
        <v>126063.99882993722</v>
      </c>
    </row>
    <row r="17" spans="1:22" x14ac:dyDescent="0.2">
      <c r="A17" s="44">
        <v>2012</v>
      </c>
      <c r="B17" s="44" t="s">
        <v>351</v>
      </c>
      <c r="C17" s="44" t="s">
        <v>44</v>
      </c>
      <c r="D17" s="44" t="s">
        <v>313</v>
      </c>
      <c r="E17" s="44">
        <v>148576</v>
      </c>
      <c r="F17" s="44"/>
      <c r="G17" s="44">
        <v>29715</v>
      </c>
      <c r="I17" s="41">
        <f t="shared" si="0"/>
        <v>394035</v>
      </c>
      <c r="O17" s="41">
        <f t="shared" si="1"/>
        <v>29715</v>
      </c>
      <c r="Q17" s="41">
        <v>2011</v>
      </c>
      <c r="R17" s="41" t="s">
        <v>351</v>
      </c>
      <c r="S17" s="41" t="s">
        <v>44</v>
      </c>
      <c r="T17" s="41" t="s">
        <v>313</v>
      </c>
      <c r="U17" s="41">
        <f t="shared" si="2"/>
        <v>118970</v>
      </c>
      <c r="V17" s="41">
        <v>118969.8461161126</v>
      </c>
    </row>
    <row r="18" spans="1:22" x14ac:dyDescent="0.2">
      <c r="A18" s="43">
        <v>2013</v>
      </c>
      <c r="B18" s="44" t="s">
        <v>351</v>
      </c>
      <c r="C18" s="43" t="s">
        <v>44</v>
      </c>
      <c r="D18" s="43" t="s">
        <v>313</v>
      </c>
      <c r="E18" s="43">
        <v>235089</v>
      </c>
      <c r="F18" s="43"/>
      <c r="G18" s="43">
        <v>47018</v>
      </c>
      <c r="I18" s="41">
        <f t="shared" si="0"/>
        <v>618603</v>
      </c>
      <c r="O18" s="41">
        <f t="shared" si="1"/>
        <v>47018</v>
      </c>
      <c r="Q18" s="41">
        <v>2012</v>
      </c>
      <c r="R18" s="41" t="s">
        <v>351</v>
      </c>
      <c r="S18" s="41" t="s">
        <v>44</v>
      </c>
      <c r="T18" s="41" t="s">
        <v>313</v>
      </c>
      <c r="U18" s="41">
        <f t="shared" si="2"/>
        <v>148576</v>
      </c>
      <c r="V18" s="41">
        <v>148576.15172250959</v>
      </c>
    </row>
    <row r="19" spans="1:22" x14ac:dyDescent="0.2">
      <c r="A19" s="44">
        <v>2014</v>
      </c>
      <c r="B19" s="44" t="s">
        <v>351</v>
      </c>
      <c r="C19" s="44" t="s">
        <v>44</v>
      </c>
      <c r="D19" s="44" t="s">
        <v>313</v>
      </c>
      <c r="E19" s="44">
        <v>219716</v>
      </c>
      <c r="F19" s="44"/>
      <c r="G19" s="44">
        <v>43943</v>
      </c>
      <c r="I19" s="41">
        <f t="shared" si="0"/>
        <v>587810</v>
      </c>
      <c r="O19" s="41">
        <f t="shared" si="1"/>
        <v>43943</v>
      </c>
      <c r="Q19" s="41">
        <v>2013</v>
      </c>
      <c r="R19" s="41" t="s">
        <v>351</v>
      </c>
      <c r="S19" s="41" t="s">
        <v>44</v>
      </c>
      <c r="T19" s="41" t="s">
        <v>313</v>
      </c>
      <c r="U19" s="41">
        <f t="shared" si="2"/>
        <v>235089</v>
      </c>
      <c r="V19" s="41">
        <v>235088.61062022398</v>
      </c>
    </row>
    <row r="20" spans="1:22" x14ac:dyDescent="0.2">
      <c r="A20" s="43">
        <v>2015</v>
      </c>
      <c r="B20" s="44" t="s">
        <v>351</v>
      </c>
      <c r="C20" s="43" t="s">
        <v>44</v>
      </c>
      <c r="D20" s="43" t="s">
        <v>313</v>
      </c>
      <c r="E20" s="43">
        <v>225908</v>
      </c>
      <c r="F20" s="43"/>
      <c r="G20" s="43">
        <v>45182</v>
      </c>
      <c r="I20" s="41">
        <f t="shared" si="0"/>
        <v>632038</v>
      </c>
      <c r="O20" s="41">
        <f t="shared" si="1"/>
        <v>45182</v>
      </c>
      <c r="Q20" s="41">
        <v>2014</v>
      </c>
      <c r="R20" s="41" t="s">
        <v>351</v>
      </c>
      <c r="S20" s="41" t="s">
        <v>44</v>
      </c>
      <c r="T20" s="41" t="s">
        <v>313</v>
      </c>
      <c r="U20" s="41">
        <f t="shared" si="2"/>
        <v>219716</v>
      </c>
      <c r="V20" s="41">
        <v>219715.86570515877</v>
      </c>
    </row>
    <row r="21" spans="1:22" x14ac:dyDescent="0.2">
      <c r="A21" s="43">
        <v>2004</v>
      </c>
      <c r="B21" s="44" t="s">
        <v>351</v>
      </c>
      <c r="C21" s="43" t="s">
        <v>43</v>
      </c>
      <c r="D21" s="43" t="s">
        <v>313</v>
      </c>
      <c r="E21" s="43">
        <v>5549</v>
      </c>
      <c r="F21" s="43"/>
      <c r="G21" s="43">
        <v>1110</v>
      </c>
      <c r="J21" s="41" t="s">
        <v>211</v>
      </c>
      <c r="O21" s="41" t="s">
        <v>211</v>
      </c>
      <c r="Q21" s="41">
        <v>2015</v>
      </c>
      <c r="R21" s="41" t="s">
        <v>351</v>
      </c>
      <c r="S21" s="41" t="s">
        <v>44</v>
      </c>
      <c r="T21" s="41" t="s">
        <v>313</v>
      </c>
      <c r="U21" s="41">
        <f t="shared" si="2"/>
        <v>225908</v>
      </c>
      <c r="V21" s="41">
        <v>225908.03419799998</v>
      </c>
    </row>
    <row r="22" spans="1:22" x14ac:dyDescent="0.2">
      <c r="A22" s="44">
        <v>2005</v>
      </c>
      <c r="B22" s="44" t="s">
        <v>351</v>
      </c>
      <c r="C22" s="44" t="s">
        <v>43</v>
      </c>
      <c r="D22" s="44" t="s">
        <v>313</v>
      </c>
      <c r="E22" s="44">
        <v>15639</v>
      </c>
      <c r="F22" s="44"/>
      <c r="G22" s="44">
        <v>3128</v>
      </c>
      <c r="O22" s="41">
        <f t="shared" ref="O22:O33" si="3">ROUND(E21*0.2,0)</f>
        <v>1110</v>
      </c>
      <c r="S22" s="41" t="s">
        <v>211</v>
      </c>
      <c r="U22" s="41" t="s">
        <v>211</v>
      </c>
      <c r="V22" s="41" t="s">
        <v>310</v>
      </c>
    </row>
    <row r="23" spans="1:22" x14ac:dyDescent="0.2">
      <c r="A23" s="43">
        <v>2006</v>
      </c>
      <c r="B23" s="44" t="s">
        <v>351</v>
      </c>
      <c r="C23" s="43" t="s">
        <v>43</v>
      </c>
      <c r="D23" s="43" t="s">
        <v>313</v>
      </c>
      <c r="E23" s="43">
        <v>33571</v>
      </c>
      <c r="F23" s="43"/>
      <c r="G23" s="43">
        <v>6714</v>
      </c>
      <c r="O23" s="41">
        <f t="shared" si="3"/>
        <v>3128</v>
      </c>
      <c r="Q23" s="41">
        <v>2004</v>
      </c>
      <c r="R23" s="41" t="s">
        <v>351</v>
      </c>
      <c r="S23" s="41" t="s">
        <v>43</v>
      </c>
      <c r="T23" s="41" t="s">
        <v>313</v>
      </c>
      <c r="U23" s="41">
        <f t="shared" si="2"/>
        <v>5549</v>
      </c>
      <c r="V23" s="41">
        <v>5548.9701065973986</v>
      </c>
    </row>
    <row r="24" spans="1:22" x14ac:dyDescent="0.2">
      <c r="A24" s="44">
        <v>2007</v>
      </c>
      <c r="B24" s="44" t="s">
        <v>351</v>
      </c>
      <c r="C24" s="44" t="s">
        <v>43</v>
      </c>
      <c r="D24" s="44" t="s">
        <v>313</v>
      </c>
      <c r="E24" s="44">
        <v>57906</v>
      </c>
      <c r="F24" s="44"/>
      <c r="G24" s="44">
        <v>11581</v>
      </c>
      <c r="O24" s="41">
        <f t="shared" si="3"/>
        <v>6714</v>
      </c>
      <c r="Q24" s="41">
        <v>2005</v>
      </c>
      <c r="R24" s="41" t="s">
        <v>351</v>
      </c>
      <c r="S24" s="41" t="s">
        <v>43</v>
      </c>
      <c r="T24" s="41" t="s">
        <v>313</v>
      </c>
      <c r="U24" s="41">
        <f t="shared" si="2"/>
        <v>15639</v>
      </c>
      <c r="V24" s="41">
        <v>15639.093064250817</v>
      </c>
    </row>
    <row r="25" spans="1:22" x14ac:dyDescent="0.2">
      <c r="A25" s="43">
        <v>2008</v>
      </c>
      <c r="B25" s="44" t="s">
        <v>351</v>
      </c>
      <c r="C25" s="43" t="s">
        <v>43</v>
      </c>
      <c r="D25" s="43" t="s">
        <v>313</v>
      </c>
      <c r="E25" s="43">
        <v>87483</v>
      </c>
      <c r="F25" s="43"/>
      <c r="G25" s="43">
        <v>17497</v>
      </c>
      <c r="O25" s="41">
        <f t="shared" si="3"/>
        <v>11581</v>
      </c>
      <c r="Q25" s="41">
        <v>2006</v>
      </c>
      <c r="R25" s="41" t="s">
        <v>351</v>
      </c>
      <c r="S25" s="41" t="s">
        <v>43</v>
      </c>
      <c r="T25" s="41" t="s">
        <v>313</v>
      </c>
      <c r="U25" s="41">
        <f t="shared" si="2"/>
        <v>33571</v>
      </c>
      <c r="V25" s="41">
        <v>33570.671624802286</v>
      </c>
    </row>
    <row r="26" spans="1:22" x14ac:dyDescent="0.2">
      <c r="A26" s="44">
        <v>2009</v>
      </c>
      <c r="B26" s="44" t="s">
        <v>351</v>
      </c>
      <c r="C26" s="44" t="s">
        <v>43</v>
      </c>
      <c r="D26" s="44" t="s">
        <v>313</v>
      </c>
      <c r="E26" s="44">
        <v>176310</v>
      </c>
      <c r="F26" s="44"/>
      <c r="G26" s="44">
        <v>35262</v>
      </c>
      <c r="O26" s="41">
        <f t="shared" si="3"/>
        <v>17497</v>
      </c>
      <c r="Q26" s="41">
        <v>2007</v>
      </c>
      <c r="R26" s="41" t="s">
        <v>351</v>
      </c>
      <c r="S26" s="41" t="s">
        <v>43</v>
      </c>
      <c r="T26" s="41" t="s">
        <v>313</v>
      </c>
      <c r="U26" s="41">
        <f t="shared" si="2"/>
        <v>57906</v>
      </c>
      <c r="V26" s="41">
        <v>57905.674052084054</v>
      </c>
    </row>
    <row r="27" spans="1:22" x14ac:dyDescent="0.2">
      <c r="A27" s="43">
        <v>2010</v>
      </c>
      <c r="B27" s="44" t="s">
        <v>351</v>
      </c>
      <c r="C27" s="43" t="s">
        <v>43</v>
      </c>
      <c r="D27" s="43" t="s">
        <v>313</v>
      </c>
      <c r="E27" s="43">
        <v>217860</v>
      </c>
      <c r="F27" s="43"/>
      <c r="G27" s="43">
        <v>43572</v>
      </c>
      <c r="O27" s="41">
        <f t="shared" si="3"/>
        <v>35262</v>
      </c>
      <c r="Q27" s="41">
        <v>2008</v>
      </c>
      <c r="R27" s="41" t="s">
        <v>351</v>
      </c>
      <c r="S27" s="41" t="s">
        <v>43</v>
      </c>
      <c r="T27" s="41" t="s">
        <v>313</v>
      </c>
      <c r="U27" s="41">
        <f t="shared" si="2"/>
        <v>87483</v>
      </c>
      <c r="V27" s="41">
        <v>87482.91959514629</v>
      </c>
    </row>
    <row r="28" spans="1:22" x14ac:dyDescent="0.2">
      <c r="A28" s="44">
        <v>2011</v>
      </c>
      <c r="B28" s="44" t="s">
        <v>351</v>
      </c>
      <c r="C28" s="44" t="s">
        <v>43</v>
      </c>
      <c r="D28" s="44" t="s">
        <v>313</v>
      </c>
      <c r="E28" s="44">
        <v>207407</v>
      </c>
      <c r="F28" s="44"/>
      <c r="G28" s="44">
        <v>41481</v>
      </c>
      <c r="O28" s="41">
        <f t="shared" si="3"/>
        <v>43572</v>
      </c>
      <c r="Q28" s="41">
        <v>2009</v>
      </c>
      <c r="R28" s="41" t="s">
        <v>351</v>
      </c>
      <c r="S28" s="41" t="s">
        <v>43</v>
      </c>
      <c r="T28" s="41" t="s">
        <v>313</v>
      </c>
      <c r="U28" s="41">
        <f t="shared" si="2"/>
        <v>176310</v>
      </c>
      <c r="V28" s="41">
        <v>176310.25944224995</v>
      </c>
    </row>
    <row r="29" spans="1:22" x14ac:dyDescent="0.2">
      <c r="A29" s="43">
        <v>2012</v>
      </c>
      <c r="B29" s="44" t="s">
        <v>351</v>
      </c>
      <c r="C29" s="43" t="s">
        <v>43</v>
      </c>
      <c r="D29" s="43" t="s">
        <v>313</v>
      </c>
      <c r="E29" s="43">
        <v>245459</v>
      </c>
      <c r="F29" s="43"/>
      <c r="G29" s="43">
        <v>49092</v>
      </c>
      <c r="O29" s="41">
        <f t="shared" si="3"/>
        <v>41481</v>
      </c>
      <c r="Q29" s="41">
        <v>2010</v>
      </c>
      <c r="R29" s="41" t="s">
        <v>351</v>
      </c>
      <c r="S29" s="41" t="s">
        <v>43</v>
      </c>
      <c r="T29" s="41" t="s">
        <v>313</v>
      </c>
      <c r="U29" s="41">
        <f t="shared" si="2"/>
        <v>217860</v>
      </c>
      <c r="V29" s="41">
        <v>217859.81629570591</v>
      </c>
    </row>
    <row r="30" spans="1:22" x14ac:dyDescent="0.2">
      <c r="A30" s="44">
        <v>2013</v>
      </c>
      <c r="B30" s="44" t="s">
        <v>351</v>
      </c>
      <c r="C30" s="44" t="s">
        <v>43</v>
      </c>
      <c r="D30" s="44" t="s">
        <v>313</v>
      </c>
      <c r="E30" s="44">
        <v>383514</v>
      </c>
      <c r="F30" s="44"/>
      <c r="G30" s="44">
        <v>76703</v>
      </c>
      <c r="O30" s="41">
        <f t="shared" si="3"/>
        <v>49092</v>
      </c>
      <c r="Q30" s="41">
        <v>2011</v>
      </c>
      <c r="R30" s="41" t="s">
        <v>351</v>
      </c>
      <c r="S30" s="41" t="s">
        <v>43</v>
      </c>
      <c r="T30" s="41" t="s">
        <v>313</v>
      </c>
      <c r="U30" s="41">
        <f t="shared" si="2"/>
        <v>207407</v>
      </c>
      <c r="V30" s="41">
        <v>207407.19780345066</v>
      </c>
    </row>
    <row r="31" spans="1:22" x14ac:dyDescent="0.2">
      <c r="A31" s="43">
        <v>2014</v>
      </c>
      <c r="B31" s="44" t="s">
        <v>351</v>
      </c>
      <c r="C31" s="43" t="s">
        <v>43</v>
      </c>
      <c r="D31" s="43" t="s">
        <v>313</v>
      </c>
      <c r="E31" s="43">
        <v>368094</v>
      </c>
      <c r="F31" s="43"/>
      <c r="G31" s="43">
        <v>73619</v>
      </c>
      <c r="O31" s="41">
        <f t="shared" si="3"/>
        <v>76703</v>
      </c>
      <c r="Q31" s="41">
        <v>2012</v>
      </c>
      <c r="R31" s="41" t="s">
        <v>351</v>
      </c>
      <c r="S31" s="41" t="s">
        <v>43</v>
      </c>
      <c r="T31" s="41" t="s">
        <v>313</v>
      </c>
      <c r="U31" s="41">
        <f t="shared" si="2"/>
        <v>245459</v>
      </c>
      <c r="V31" s="41">
        <v>245459.27026811085</v>
      </c>
    </row>
    <row r="32" spans="1:22" x14ac:dyDescent="0.2">
      <c r="A32" s="44">
        <v>2015</v>
      </c>
      <c r="B32" s="44" t="s">
        <v>351</v>
      </c>
      <c r="C32" s="44" t="s">
        <v>43</v>
      </c>
      <c r="D32" s="44" t="s">
        <v>313</v>
      </c>
      <c r="E32" s="44">
        <v>406130</v>
      </c>
      <c r="F32" s="44"/>
      <c r="G32" s="44">
        <v>81226</v>
      </c>
      <c r="O32" s="41">
        <f t="shared" si="3"/>
        <v>73619</v>
      </c>
      <c r="Q32" s="41">
        <v>2013</v>
      </c>
      <c r="R32" s="41" t="s">
        <v>351</v>
      </c>
      <c r="S32" s="41" t="s">
        <v>43</v>
      </c>
      <c r="T32" s="41" t="s">
        <v>313</v>
      </c>
      <c r="U32" s="41">
        <f t="shared" si="2"/>
        <v>383514</v>
      </c>
      <c r="V32" s="41">
        <v>383514.30040762707</v>
      </c>
    </row>
    <row r="33" spans="1:22" x14ac:dyDescent="0.2">
      <c r="A33" s="43"/>
      <c r="B33" s="43"/>
      <c r="C33" s="43"/>
      <c r="D33" s="43"/>
      <c r="E33" s="43"/>
      <c r="F33" s="43"/>
      <c r="G33" s="43"/>
      <c r="O33" s="41">
        <f t="shared" si="3"/>
        <v>81226</v>
      </c>
      <c r="Q33" s="41">
        <v>2014</v>
      </c>
      <c r="R33" s="41" t="s">
        <v>351</v>
      </c>
      <c r="S33" s="41" t="s">
        <v>43</v>
      </c>
      <c r="T33" s="41" t="s">
        <v>313</v>
      </c>
      <c r="U33" s="41">
        <f t="shared" si="2"/>
        <v>368094</v>
      </c>
      <c r="V33" s="41">
        <v>368094.29805110261</v>
      </c>
    </row>
    <row r="34" spans="1:22" x14ac:dyDescent="0.2">
      <c r="A34" s="44"/>
      <c r="B34" s="44"/>
      <c r="C34" s="44"/>
      <c r="D34" s="44"/>
      <c r="E34" s="44"/>
      <c r="F34" s="44"/>
      <c r="G34" s="44"/>
      <c r="Q34" s="41">
        <v>2015</v>
      </c>
      <c r="R34" s="41" t="s">
        <v>351</v>
      </c>
      <c r="S34" s="41" t="s">
        <v>43</v>
      </c>
      <c r="T34" s="41" t="s">
        <v>313</v>
      </c>
      <c r="U34" s="41">
        <f t="shared" si="2"/>
        <v>406130</v>
      </c>
      <c r="V34" s="41">
        <v>406130.43664610997</v>
      </c>
    </row>
    <row r="35" spans="1:22" x14ac:dyDescent="0.2">
      <c r="A35" s="43"/>
      <c r="B35" s="43"/>
      <c r="C35" s="43"/>
      <c r="D35" s="43"/>
      <c r="E35" s="43"/>
      <c r="F35" s="43"/>
      <c r="G35" s="43"/>
    </row>
    <row r="36" spans="1:22" x14ac:dyDescent="0.2">
      <c r="A36" s="44"/>
      <c r="B36" s="44"/>
      <c r="C36" s="44"/>
      <c r="D36" s="44"/>
      <c r="E36" s="44"/>
      <c r="F36" s="44"/>
      <c r="G36" s="44"/>
    </row>
    <row r="37" spans="1:22" x14ac:dyDescent="0.2">
      <c r="A37" s="43"/>
      <c r="B37" s="43"/>
      <c r="C37" s="43"/>
      <c r="D37" s="43"/>
      <c r="E37" s="43"/>
      <c r="F37" s="43"/>
      <c r="G37" s="43"/>
    </row>
    <row r="38" spans="1:22" x14ac:dyDescent="0.2">
      <c r="A38" s="44"/>
      <c r="B38" s="44"/>
      <c r="C38" s="44"/>
      <c r="D38" s="44"/>
      <c r="E38" s="44"/>
      <c r="F38" s="44"/>
      <c r="G38" s="44"/>
    </row>
    <row r="39" spans="1:22" x14ac:dyDescent="0.2">
      <c r="A39" s="43"/>
      <c r="B39" s="43"/>
      <c r="C39" s="43"/>
      <c r="D39" s="43"/>
      <c r="E39" s="43"/>
      <c r="F39" s="43"/>
      <c r="G39" s="43"/>
    </row>
    <row r="40" spans="1:22" x14ac:dyDescent="0.2">
      <c r="A40" s="44"/>
      <c r="B40" s="44"/>
      <c r="C40" s="44"/>
      <c r="D40" s="44"/>
      <c r="E40" s="44"/>
      <c r="F40" s="44"/>
      <c r="G40" s="44"/>
    </row>
    <row r="41" spans="1:22" x14ac:dyDescent="0.2">
      <c r="A41" s="43"/>
      <c r="B41" s="43"/>
      <c r="C41" s="43"/>
      <c r="D41" s="43"/>
      <c r="E41" s="43"/>
      <c r="F41" s="43"/>
      <c r="G41" s="43"/>
    </row>
    <row r="42" spans="1:22" x14ac:dyDescent="0.2">
      <c r="A42" s="44"/>
      <c r="B42" s="44"/>
      <c r="C42" s="44"/>
      <c r="D42" s="44"/>
      <c r="E42" s="44"/>
      <c r="F42" s="44"/>
      <c r="G42" s="44"/>
    </row>
    <row r="43" spans="1:22" x14ac:dyDescent="0.2">
      <c r="A43" s="43"/>
      <c r="B43" s="43"/>
      <c r="C43" s="43"/>
      <c r="D43" s="43"/>
      <c r="E43" s="43"/>
      <c r="F43" s="43"/>
      <c r="G43" s="43"/>
    </row>
    <row r="44" spans="1:22" x14ac:dyDescent="0.2">
      <c r="A44" s="44"/>
      <c r="B44" s="44"/>
      <c r="C44" s="44"/>
      <c r="D44" s="44"/>
      <c r="E44" s="44"/>
      <c r="F44" s="44"/>
      <c r="G44" s="44"/>
    </row>
    <row r="45" spans="1:22" x14ac:dyDescent="0.2">
      <c r="A45" s="43"/>
      <c r="B45" s="43"/>
      <c r="C45" s="43"/>
      <c r="D45" s="43"/>
      <c r="E45" s="43"/>
      <c r="F45" s="43"/>
      <c r="G45" s="43"/>
    </row>
    <row r="46" spans="1:22" x14ac:dyDescent="0.2">
      <c r="A46" s="44"/>
      <c r="B46" s="44"/>
      <c r="C46" s="44"/>
      <c r="D46" s="44"/>
      <c r="E46" s="44"/>
      <c r="F46" s="44"/>
      <c r="G46" s="44"/>
    </row>
    <row r="47" spans="1:22" x14ac:dyDescent="0.2">
      <c r="A47" s="43"/>
      <c r="B47" s="43"/>
      <c r="C47" s="43"/>
      <c r="D47" s="43"/>
      <c r="E47" s="43"/>
      <c r="F47" s="43"/>
      <c r="G47" s="43"/>
    </row>
    <row r="48" spans="1:22" x14ac:dyDescent="0.2">
      <c r="A48" s="44"/>
      <c r="B48" s="44"/>
      <c r="C48" s="44"/>
      <c r="D48" s="44"/>
      <c r="E48" s="44"/>
      <c r="F48" s="44"/>
      <c r="G48" s="44"/>
    </row>
    <row r="49" spans="1:7" x14ac:dyDescent="0.2">
      <c r="A49" s="43"/>
      <c r="B49" s="43"/>
      <c r="C49" s="43"/>
      <c r="D49" s="43"/>
      <c r="E49" s="43"/>
      <c r="F49" s="43"/>
      <c r="G49" s="43"/>
    </row>
    <row r="50" spans="1:7" x14ac:dyDescent="0.2">
      <c r="A50" s="44"/>
      <c r="B50" s="44"/>
      <c r="C50" s="44"/>
      <c r="D50" s="44"/>
      <c r="E50" s="44"/>
      <c r="F50" s="44"/>
      <c r="G50" s="44"/>
    </row>
    <row r="51" spans="1:7" x14ac:dyDescent="0.2">
      <c r="A51" s="43"/>
      <c r="B51" s="43"/>
      <c r="C51" s="43"/>
      <c r="D51" s="43"/>
      <c r="E51" s="43"/>
      <c r="F51" s="43"/>
      <c r="G51" s="43"/>
    </row>
    <row r="52" spans="1:7" x14ac:dyDescent="0.2">
      <c r="A52" s="44"/>
      <c r="B52" s="44"/>
      <c r="C52" s="44"/>
      <c r="D52" s="44"/>
      <c r="E52" s="44"/>
      <c r="F52" s="44"/>
      <c r="G52" s="44"/>
    </row>
    <row r="53" spans="1:7" x14ac:dyDescent="0.2">
      <c r="A53" s="43"/>
      <c r="B53" s="43"/>
      <c r="C53" s="43"/>
      <c r="D53" s="43"/>
      <c r="E53" s="43"/>
      <c r="F53" s="43"/>
      <c r="G53" s="43"/>
    </row>
    <row r="54" spans="1:7" x14ac:dyDescent="0.2">
      <c r="A54" s="44"/>
      <c r="B54" s="44"/>
      <c r="C54" s="44"/>
      <c r="D54" s="44"/>
      <c r="E54" s="44"/>
      <c r="F54" s="44"/>
      <c r="G54" s="44"/>
    </row>
    <row r="55" spans="1:7" x14ac:dyDescent="0.2">
      <c r="A55" s="43"/>
      <c r="B55" s="43"/>
      <c r="C55" s="43"/>
      <c r="D55" s="43"/>
      <c r="E55" s="43"/>
      <c r="F55" s="43"/>
      <c r="G55" s="43"/>
    </row>
    <row r="56" spans="1:7" x14ac:dyDescent="0.2">
      <c r="A56" s="44"/>
      <c r="B56" s="44"/>
      <c r="C56" s="44"/>
      <c r="D56" s="44"/>
      <c r="E56" s="44"/>
      <c r="F56" s="44"/>
      <c r="G56" s="44"/>
    </row>
    <row r="57" spans="1:7" x14ac:dyDescent="0.2">
      <c r="A57" s="43"/>
      <c r="B57" s="43"/>
      <c r="C57" s="43"/>
      <c r="D57" s="43"/>
      <c r="E57" s="43"/>
      <c r="F57" s="43"/>
      <c r="G57" s="43"/>
    </row>
    <row r="58" spans="1:7" x14ac:dyDescent="0.2">
      <c r="A58" s="44"/>
      <c r="B58" s="44"/>
      <c r="C58" s="44"/>
      <c r="D58" s="44"/>
      <c r="E58" s="44"/>
      <c r="F58" s="44"/>
      <c r="G58" s="44"/>
    </row>
    <row r="59" spans="1:7" x14ac:dyDescent="0.2">
      <c r="A59" s="43"/>
      <c r="B59" s="43"/>
      <c r="C59" s="43"/>
      <c r="D59" s="43"/>
      <c r="E59" s="43"/>
      <c r="F59" s="43"/>
      <c r="G59" s="43"/>
    </row>
    <row r="60" spans="1:7" x14ac:dyDescent="0.2">
      <c r="A60" s="44"/>
      <c r="B60" s="44"/>
      <c r="C60" s="44"/>
      <c r="D60" s="44"/>
      <c r="E60" s="44"/>
      <c r="F60" s="44"/>
      <c r="G60" s="44"/>
    </row>
    <row r="61" spans="1:7" x14ac:dyDescent="0.2">
      <c r="A61" s="43"/>
      <c r="B61" s="43"/>
      <c r="C61" s="43"/>
      <c r="D61" s="43"/>
      <c r="E61" s="43"/>
      <c r="F61" s="43"/>
      <c r="G61" s="43"/>
    </row>
    <row r="62" spans="1:7" x14ac:dyDescent="0.2">
      <c r="A62" s="44"/>
      <c r="B62" s="44"/>
      <c r="C62" s="44"/>
      <c r="D62" s="44"/>
      <c r="E62" s="44"/>
      <c r="F62" s="44"/>
      <c r="G62" s="44"/>
    </row>
    <row r="63" spans="1:7" x14ac:dyDescent="0.2">
      <c r="A63" s="43"/>
      <c r="B63" s="43"/>
      <c r="C63" s="43"/>
      <c r="D63" s="43"/>
      <c r="E63" s="43"/>
      <c r="F63" s="43"/>
      <c r="G63" s="43"/>
    </row>
    <row r="64" spans="1:7" x14ac:dyDescent="0.2">
      <c r="A64" s="44"/>
      <c r="B64" s="44"/>
      <c r="C64" s="44"/>
      <c r="D64" s="44"/>
      <c r="E64" s="44"/>
      <c r="F64" s="44"/>
      <c r="G64" s="44"/>
    </row>
    <row r="65" spans="1:7" x14ac:dyDescent="0.2">
      <c r="A65" s="43"/>
      <c r="B65" s="43"/>
      <c r="C65" s="43"/>
      <c r="D65" s="43"/>
      <c r="E65" s="43"/>
      <c r="F65" s="43"/>
      <c r="G65" s="43"/>
    </row>
    <row r="66" spans="1:7" x14ac:dyDescent="0.2">
      <c r="A66" s="44"/>
      <c r="B66" s="44"/>
      <c r="C66" s="44"/>
      <c r="D66" s="44"/>
      <c r="E66" s="44"/>
      <c r="F66" s="44"/>
      <c r="G66" s="44"/>
    </row>
    <row r="67" spans="1:7" x14ac:dyDescent="0.2">
      <c r="A67" s="43"/>
      <c r="B67" s="43"/>
      <c r="C67" s="43"/>
      <c r="D67" s="43"/>
      <c r="E67" s="43"/>
      <c r="F67" s="43"/>
      <c r="G67" s="43"/>
    </row>
    <row r="68" spans="1:7" x14ac:dyDescent="0.2">
      <c r="A68" s="44"/>
      <c r="B68" s="44"/>
      <c r="C68" s="44"/>
      <c r="D68" s="44"/>
      <c r="E68" s="44"/>
      <c r="F68" s="44"/>
      <c r="G68" s="44"/>
    </row>
    <row r="69" spans="1:7" x14ac:dyDescent="0.2">
      <c r="A69" s="43"/>
      <c r="B69" s="43"/>
      <c r="C69" s="43"/>
      <c r="D69" s="43"/>
      <c r="E69" s="43"/>
      <c r="F69" s="43"/>
      <c r="G69" s="43"/>
    </row>
    <row r="70" spans="1:7" x14ac:dyDescent="0.2">
      <c r="A70" s="44"/>
      <c r="B70" s="44"/>
      <c r="C70" s="44"/>
      <c r="D70" s="44"/>
      <c r="E70" s="44"/>
      <c r="F70" s="44"/>
      <c r="G70" s="44"/>
    </row>
    <row r="71" spans="1:7" x14ac:dyDescent="0.2">
      <c r="A71" s="43"/>
      <c r="B71" s="43"/>
      <c r="C71" s="43"/>
      <c r="D71" s="43"/>
      <c r="E71" s="43"/>
      <c r="F71" s="43"/>
      <c r="G71" s="43"/>
    </row>
    <row r="72" spans="1:7" x14ac:dyDescent="0.2">
      <c r="A72" s="44"/>
      <c r="B72" s="44"/>
      <c r="C72" s="44"/>
      <c r="D72" s="44"/>
      <c r="E72" s="44"/>
      <c r="F72" s="44"/>
      <c r="G72" s="44"/>
    </row>
    <row r="73" spans="1:7" x14ac:dyDescent="0.2">
      <c r="A73" s="43"/>
      <c r="B73" s="43"/>
      <c r="C73" s="43"/>
      <c r="D73" s="43"/>
      <c r="E73" s="43"/>
      <c r="F73" s="43"/>
      <c r="G73" s="43"/>
    </row>
    <row r="74" spans="1:7" x14ac:dyDescent="0.2">
      <c r="A74" s="44"/>
      <c r="B74" s="44"/>
      <c r="C74" s="44"/>
      <c r="D74" s="44"/>
      <c r="E74" s="44"/>
      <c r="F74" s="44"/>
      <c r="G74" s="44"/>
    </row>
    <row r="75" spans="1:7" x14ac:dyDescent="0.2">
      <c r="A75" s="43"/>
      <c r="B75" s="43"/>
      <c r="C75" s="43"/>
      <c r="D75" s="43"/>
      <c r="E75" s="43"/>
      <c r="F75" s="43"/>
      <c r="G75" s="43"/>
    </row>
    <row r="76" spans="1:7" x14ac:dyDescent="0.2">
      <c r="A76" s="44"/>
      <c r="B76" s="44"/>
      <c r="C76" s="44"/>
      <c r="D76" s="44"/>
      <c r="E76" s="44"/>
      <c r="F76" s="44"/>
      <c r="G76" s="44"/>
    </row>
    <row r="77" spans="1:7" x14ac:dyDescent="0.2">
      <c r="A77" s="43"/>
      <c r="B77" s="43"/>
      <c r="C77" s="43"/>
      <c r="D77" s="43"/>
      <c r="E77" s="43"/>
      <c r="F77" s="43"/>
      <c r="G77" s="43"/>
    </row>
    <row r="78" spans="1:7" x14ac:dyDescent="0.2">
      <c r="A78" s="44"/>
      <c r="B78" s="44"/>
      <c r="C78" s="44"/>
      <c r="D78" s="44"/>
      <c r="E78" s="44"/>
      <c r="F78" s="44"/>
      <c r="G78" s="44"/>
    </row>
    <row r="79" spans="1:7" x14ac:dyDescent="0.2">
      <c r="A79" s="43"/>
      <c r="B79" s="43"/>
      <c r="C79" s="43"/>
      <c r="D79" s="43"/>
      <c r="E79" s="43"/>
      <c r="F79" s="43"/>
      <c r="G79" s="43"/>
    </row>
    <row r="80" spans="1:7" x14ac:dyDescent="0.2">
      <c r="A80" s="44"/>
      <c r="B80" s="44"/>
      <c r="C80" s="44"/>
      <c r="D80" s="44"/>
      <c r="E80" s="44"/>
      <c r="F80" s="44"/>
      <c r="G80" s="44"/>
    </row>
    <row r="81" spans="1:7" x14ac:dyDescent="0.2">
      <c r="A81" s="43"/>
      <c r="B81" s="43"/>
      <c r="C81" s="43"/>
      <c r="D81" s="43"/>
      <c r="E81" s="43"/>
      <c r="F81" s="43"/>
      <c r="G81" s="43"/>
    </row>
    <row r="82" spans="1:7" x14ac:dyDescent="0.2">
      <c r="A82" s="44"/>
      <c r="B82" s="44"/>
      <c r="C82" s="44"/>
      <c r="D82" s="44"/>
      <c r="E82" s="44"/>
      <c r="F82" s="44"/>
      <c r="G82" s="44"/>
    </row>
    <row r="83" spans="1:7" x14ac:dyDescent="0.2">
      <c r="A83" s="43"/>
      <c r="B83" s="43"/>
      <c r="C83" s="43"/>
      <c r="D83" s="43"/>
      <c r="E83" s="43"/>
      <c r="F83" s="43"/>
      <c r="G83" s="43"/>
    </row>
    <row r="84" spans="1:7" x14ac:dyDescent="0.2">
      <c r="A84" s="44"/>
      <c r="B84" s="44"/>
      <c r="C84" s="44"/>
      <c r="D84" s="44"/>
      <c r="E84" s="44"/>
      <c r="F84" s="44"/>
      <c r="G84" s="44"/>
    </row>
    <row r="85" spans="1:7" x14ac:dyDescent="0.2">
      <c r="A85" s="43"/>
      <c r="B85" s="43"/>
      <c r="C85" s="43"/>
      <c r="D85" s="43"/>
      <c r="E85" s="43"/>
      <c r="F85" s="43"/>
      <c r="G85" s="43"/>
    </row>
    <row r="86" spans="1:7" x14ac:dyDescent="0.2">
      <c r="A86" s="44"/>
      <c r="B86" s="44"/>
      <c r="C86" s="44"/>
      <c r="D86" s="44"/>
      <c r="E86" s="44"/>
      <c r="F86" s="44"/>
      <c r="G86" s="44"/>
    </row>
    <row r="87" spans="1:7" x14ac:dyDescent="0.2">
      <c r="A87" s="43"/>
      <c r="B87" s="43"/>
      <c r="C87" s="43"/>
      <c r="D87" s="43"/>
      <c r="E87" s="43"/>
      <c r="F87" s="43"/>
      <c r="G87" s="43"/>
    </row>
    <row r="88" spans="1:7" x14ac:dyDescent="0.2">
      <c r="A88" s="44"/>
      <c r="B88" s="44"/>
      <c r="C88" s="44"/>
      <c r="D88" s="44"/>
      <c r="E88" s="44"/>
      <c r="F88" s="44"/>
      <c r="G88" s="44"/>
    </row>
    <row r="89" spans="1:7" x14ac:dyDescent="0.2">
      <c r="A89" s="43"/>
      <c r="B89" s="43"/>
      <c r="C89" s="43"/>
      <c r="D89" s="43"/>
      <c r="E89" s="43"/>
      <c r="F89" s="43"/>
      <c r="G89" s="43"/>
    </row>
    <row r="90" spans="1:7" x14ac:dyDescent="0.2">
      <c r="A90" s="44"/>
      <c r="B90" s="44"/>
      <c r="C90" s="44"/>
      <c r="D90" s="44"/>
      <c r="E90" s="44"/>
      <c r="F90" s="44"/>
      <c r="G90" s="44"/>
    </row>
    <row r="91" spans="1:7" x14ac:dyDescent="0.2">
      <c r="A91" s="43"/>
      <c r="B91" s="43"/>
      <c r="C91" s="43"/>
      <c r="D91" s="43"/>
      <c r="E91" s="43"/>
      <c r="F91" s="43"/>
      <c r="G91" s="43"/>
    </row>
    <row r="92" spans="1:7" x14ac:dyDescent="0.2">
      <c r="A92" s="44"/>
      <c r="B92" s="44"/>
      <c r="C92" s="44"/>
      <c r="D92" s="44"/>
      <c r="E92" s="44"/>
      <c r="F92" s="44"/>
      <c r="G92" s="44"/>
    </row>
    <row r="93" spans="1:7" x14ac:dyDescent="0.2">
      <c r="A93" s="43"/>
      <c r="B93" s="43"/>
      <c r="C93" s="43"/>
      <c r="D93" s="43"/>
      <c r="E93" s="43"/>
      <c r="F93" s="43"/>
      <c r="G93" s="43"/>
    </row>
    <row r="94" spans="1:7" x14ac:dyDescent="0.2">
      <c r="A94" s="44"/>
      <c r="B94" s="44"/>
      <c r="C94" s="44"/>
      <c r="D94" s="44"/>
      <c r="E94" s="44"/>
      <c r="F94" s="44"/>
      <c r="G94" s="44"/>
    </row>
    <row r="95" spans="1:7" x14ac:dyDescent="0.2">
      <c r="A95" s="43"/>
      <c r="B95" s="43"/>
      <c r="C95" s="43"/>
      <c r="D95" s="43"/>
      <c r="E95" s="43"/>
      <c r="F95" s="43"/>
      <c r="G95" s="43"/>
    </row>
    <row r="96" spans="1:7" x14ac:dyDescent="0.2">
      <c r="A96" s="44"/>
      <c r="B96" s="44"/>
      <c r="C96" s="44"/>
      <c r="D96" s="44"/>
      <c r="E96" s="44"/>
      <c r="F96" s="44"/>
      <c r="G96" s="44"/>
    </row>
    <row r="97" spans="1:7" x14ac:dyDescent="0.2">
      <c r="A97" s="43"/>
      <c r="B97" s="43"/>
      <c r="C97" s="43"/>
      <c r="D97" s="43"/>
      <c r="E97" s="43"/>
      <c r="F97" s="43"/>
      <c r="G97" s="43"/>
    </row>
    <row r="98" spans="1:7" x14ac:dyDescent="0.2">
      <c r="A98" s="44"/>
      <c r="B98" s="44"/>
      <c r="C98" s="44"/>
      <c r="D98" s="44"/>
      <c r="E98" s="44"/>
      <c r="F98" s="44"/>
      <c r="G98" s="44"/>
    </row>
    <row r="99" spans="1:7" x14ac:dyDescent="0.2">
      <c r="A99" s="43"/>
      <c r="B99" s="43"/>
      <c r="C99" s="43"/>
      <c r="D99" s="43"/>
      <c r="E99" s="43"/>
      <c r="F99" s="43"/>
      <c r="G99" s="43"/>
    </row>
    <row r="100" spans="1:7" x14ac:dyDescent="0.2">
      <c r="A100" s="44"/>
      <c r="B100" s="44"/>
      <c r="C100" s="44"/>
      <c r="D100" s="44"/>
      <c r="E100" s="44"/>
      <c r="F100" s="44"/>
      <c r="G100" s="44"/>
    </row>
    <row r="101" spans="1:7" x14ac:dyDescent="0.2">
      <c r="A101" s="43"/>
      <c r="B101" s="43"/>
      <c r="C101" s="43"/>
      <c r="D101" s="43"/>
      <c r="E101" s="43"/>
      <c r="F101" s="43"/>
      <c r="G101" s="43"/>
    </row>
    <row r="102" spans="1:7" x14ac:dyDescent="0.2">
      <c r="A102" s="44"/>
      <c r="B102" s="44"/>
      <c r="C102" s="44"/>
      <c r="D102" s="44"/>
      <c r="E102" s="44"/>
      <c r="F102" s="44"/>
      <c r="G102" s="44"/>
    </row>
    <row r="103" spans="1:7" x14ac:dyDescent="0.2">
      <c r="A103" s="43"/>
      <c r="B103" s="43"/>
      <c r="C103" s="43"/>
      <c r="D103" s="43"/>
      <c r="E103" s="43"/>
      <c r="F103" s="43"/>
      <c r="G103" s="43"/>
    </row>
    <row r="104" spans="1:7" x14ac:dyDescent="0.2">
      <c r="A104" s="44"/>
      <c r="B104" s="44"/>
      <c r="C104" s="44"/>
      <c r="D104" s="44"/>
      <c r="E104" s="44"/>
      <c r="F104" s="44"/>
      <c r="G104" s="44"/>
    </row>
    <row r="105" spans="1:7" x14ac:dyDescent="0.2">
      <c r="A105" s="43"/>
      <c r="B105" s="43"/>
      <c r="C105" s="43"/>
      <c r="D105" s="43"/>
      <c r="E105" s="43"/>
      <c r="F105" s="43"/>
      <c r="G105" s="43"/>
    </row>
    <row r="106" spans="1:7" x14ac:dyDescent="0.2">
      <c r="A106" s="44"/>
      <c r="B106" s="44"/>
      <c r="C106" s="44"/>
      <c r="D106" s="44"/>
      <c r="E106" s="44"/>
      <c r="F106" s="44"/>
      <c r="G106" s="44"/>
    </row>
    <row r="107" spans="1:7" x14ac:dyDescent="0.2">
      <c r="A107" s="43"/>
      <c r="B107" s="43"/>
      <c r="C107" s="43"/>
      <c r="D107" s="43"/>
      <c r="E107" s="43"/>
      <c r="F107" s="43"/>
      <c r="G107" s="43"/>
    </row>
    <row r="108" spans="1:7" x14ac:dyDescent="0.2">
      <c r="A108" s="44"/>
      <c r="B108" s="44"/>
      <c r="C108" s="44"/>
      <c r="D108" s="44"/>
      <c r="E108" s="44"/>
      <c r="F108" s="44"/>
      <c r="G108" s="44"/>
    </row>
    <row r="109" spans="1:7" x14ac:dyDescent="0.2">
      <c r="A109" s="43"/>
      <c r="B109" s="43"/>
      <c r="C109" s="43"/>
      <c r="D109" s="43"/>
      <c r="E109" s="43"/>
      <c r="F109" s="43"/>
      <c r="G109" s="43"/>
    </row>
    <row r="110" spans="1:7" x14ac:dyDescent="0.2">
      <c r="A110" s="44"/>
      <c r="B110" s="44"/>
      <c r="C110" s="44"/>
      <c r="D110" s="44"/>
      <c r="E110" s="44"/>
      <c r="F110" s="44"/>
      <c r="G110" s="44"/>
    </row>
    <row r="111" spans="1:7" x14ac:dyDescent="0.2">
      <c r="A111" s="43"/>
      <c r="B111" s="43"/>
      <c r="C111" s="43"/>
      <c r="D111" s="43"/>
      <c r="E111" s="43"/>
      <c r="F111" s="43"/>
      <c r="G111" s="43"/>
    </row>
    <row r="112" spans="1:7" x14ac:dyDescent="0.2">
      <c r="A112" s="44"/>
      <c r="B112" s="44"/>
      <c r="C112" s="44"/>
      <c r="D112" s="44"/>
      <c r="E112" s="44"/>
      <c r="F112" s="44"/>
      <c r="G112" s="44"/>
    </row>
    <row r="113" spans="1:7" x14ac:dyDescent="0.2">
      <c r="A113" s="43"/>
      <c r="B113" s="43"/>
      <c r="C113" s="43"/>
      <c r="D113" s="43"/>
      <c r="E113" s="43"/>
      <c r="F113" s="43"/>
      <c r="G113" s="43"/>
    </row>
    <row r="114" spans="1:7" x14ac:dyDescent="0.2">
      <c r="A114" s="44"/>
      <c r="B114" s="44"/>
      <c r="C114" s="44"/>
      <c r="D114" s="44"/>
      <c r="E114" s="44"/>
      <c r="F114" s="44"/>
      <c r="G114" s="44"/>
    </row>
    <row r="115" spans="1:7" x14ac:dyDescent="0.2">
      <c r="A115" s="43"/>
      <c r="B115" s="43"/>
      <c r="C115" s="43"/>
      <c r="D115" s="43"/>
      <c r="E115" s="43"/>
      <c r="F115" s="43"/>
      <c r="G115" s="43"/>
    </row>
    <row r="116" spans="1:7" x14ac:dyDescent="0.2">
      <c r="A116" s="44"/>
      <c r="B116" s="44"/>
      <c r="C116" s="44"/>
      <c r="D116" s="44"/>
      <c r="E116" s="44"/>
      <c r="F116" s="44"/>
      <c r="G116" s="44"/>
    </row>
    <row r="117" spans="1:7" x14ac:dyDescent="0.2">
      <c r="A117" s="43"/>
      <c r="B117" s="43"/>
      <c r="C117" s="43"/>
      <c r="D117" s="43"/>
      <c r="E117" s="43"/>
      <c r="F117" s="43"/>
      <c r="G117" s="43"/>
    </row>
    <row r="118" spans="1:7" x14ac:dyDescent="0.2">
      <c r="A118" s="44"/>
      <c r="B118" s="44"/>
      <c r="C118" s="44"/>
      <c r="D118" s="44"/>
      <c r="E118" s="44"/>
      <c r="F118" s="44"/>
      <c r="G118" s="44"/>
    </row>
    <row r="119" spans="1:7" x14ac:dyDescent="0.2">
      <c r="A119" s="43"/>
      <c r="B119" s="43"/>
      <c r="C119" s="43"/>
      <c r="D119" s="43"/>
      <c r="E119" s="43"/>
      <c r="F119" s="43"/>
      <c r="G119" s="43"/>
    </row>
    <row r="120" spans="1:7" x14ac:dyDescent="0.2">
      <c r="A120" s="44"/>
      <c r="B120" s="44"/>
      <c r="C120" s="44"/>
      <c r="D120" s="44"/>
      <c r="E120" s="44"/>
      <c r="F120" s="44"/>
      <c r="G120" s="44"/>
    </row>
    <row r="121" spans="1:7" x14ac:dyDescent="0.2">
      <c r="A121" s="43"/>
      <c r="B121" s="43"/>
      <c r="C121" s="43"/>
      <c r="D121" s="43"/>
      <c r="E121" s="43"/>
      <c r="F121" s="43"/>
      <c r="G121" s="43"/>
    </row>
    <row r="122" spans="1:7" x14ac:dyDescent="0.2">
      <c r="A122" s="44"/>
      <c r="B122" s="44"/>
      <c r="C122" s="44"/>
      <c r="D122" s="44"/>
      <c r="E122" s="44"/>
      <c r="F122" s="44"/>
      <c r="G122" s="44"/>
    </row>
    <row r="123" spans="1:7" x14ac:dyDescent="0.2">
      <c r="A123" s="43"/>
      <c r="B123" s="43"/>
      <c r="C123" s="43"/>
      <c r="D123" s="43"/>
      <c r="E123" s="43"/>
      <c r="F123" s="43"/>
      <c r="G123" s="43"/>
    </row>
    <row r="124" spans="1:7" x14ac:dyDescent="0.2">
      <c r="A124" s="44"/>
      <c r="B124" s="44"/>
      <c r="C124" s="44"/>
      <c r="D124" s="44"/>
      <c r="E124" s="44"/>
      <c r="F124" s="44"/>
      <c r="G124" s="44"/>
    </row>
    <row r="125" spans="1:7" x14ac:dyDescent="0.2">
      <c r="A125" s="43"/>
      <c r="B125" s="43"/>
      <c r="C125" s="43"/>
      <c r="D125" s="43"/>
      <c r="E125" s="43"/>
      <c r="F125" s="43"/>
      <c r="G125" s="43"/>
    </row>
    <row r="126" spans="1:7" x14ac:dyDescent="0.2">
      <c r="A126" s="44"/>
      <c r="B126" s="44"/>
      <c r="C126" s="44"/>
      <c r="D126" s="44"/>
      <c r="E126" s="44"/>
      <c r="F126" s="44"/>
      <c r="G126" s="44"/>
    </row>
    <row r="127" spans="1:7" x14ac:dyDescent="0.2">
      <c r="A127" s="43"/>
      <c r="B127" s="43"/>
      <c r="C127" s="43"/>
      <c r="D127" s="43"/>
      <c r="E127" s="43"/>
      <c r="F127" s="43"/>
      <c r="G127" s="43"/>
    </row>
    <row r="128" spans="1:7" x14ac:dyDescent="0.2">
      <c r="A128" s="44"/>
      <c r="B128" s="44"/>
      <c r="C128" s="44"/>
      <c r="D128" s="44"/>
      <c r="E128" s="44"/>
      <c r="F128" s="44"/>
      <c r="G128" s="44"/>
    </row>
    <row r="129" spans="1:7" x14ac:dyDescent="0.2">
      <c r="A129" s="43"/>
      <c r="B129" s="43"/>
      <c r="C129" s="43"/>
      <c r="D129" s="43"/>
      <c r="E129" s="43"/>
      <c r="F129" s="43"/>
      <c r="G129" s="43"/>
    </row>
    <row r="130" spans="1:7" x14ac:dyDescent="0.2">
      <c r="A130" s="44"/>
      <c r="B130" s="44"/>
      <c r="C130" s="44"/>
      <c r="D130" s="44"/>
      <c r="E130" s="44"/>
      <c r="F130" s="44"/>
      <c r="G130" s="44"/>
    </row>
    <row r="131" spans="1:7" x14ac:dyDescent="0.2">
      <c r="A131" s="43"/>
      <c r="B131" s="43"/>
      <c r="C131" s="43"/>
      <c r="D131" s="43"/>
      <c r="E131" s="43"/>
      <c r="F131" s="43"/>
      <c r="G131" s="43"/>
    </row>
    <row r="132" spans="1:7" x14ac:dyDescent="0.2">
      <c r="A132" s="44"/>
      <c r="B132" s="44"/>
      <c r="C132" s="44"/>
      <c r="D132" s="44"/>
      <c r="E132" s="44"/>
      <c r="F132" s="44"/>
      <c r="G132" s="44"/>
    </row>
    <row r="133" spans="1:7" x14ac:dyDescent="0.2">
      <c r="A133" s="43"/>
      <c r="B133" s="43"/>
      <c r="C133" s="43"/>
      <c r="D133" s="43"/>
      <c r="E133" s="43"/>
      <c r="F133" s="43"/>
      <c r="G133" s="43"/>
    </row>
    <row r="134" spans="1:7" x14ac:dyDescent="0.2">
      <c r="A134" s="44"/>
      <c r="B134" s="44"/>
      <c r="C134" s="44"/>
      <c r="D134" s="44"/>
      <c r="E134" s="44"/>
      <c r="F134" s="44"/>
      <c r="G134" s="44"/>
    </row>
    <row r="135" spans="1:7" x14ac:dyDescent="0.2">
      <c r="A135" s="43"/>
      <c r="B135" s="43"/>
      <c r="C135" s="43"/>
      <c r="D135" s="43"/>
      <c r="E135" s="43"/>
      <c r="F135" s="43"/>
      <c r="G135" s="43"/>
    </row>
    <row r="136" spans="1:7" x14ac:dyDescent="0.2">
      <c r="A136" s="44"/>
      <c r="B136" s="44"/>
      <c r="C136" s="44"/>
      <c r="D136" s="44"/>
      <c r="E136" s="44"/>
      <c r="F136" s="44"/>
      <c r="G136" s="44"/>
    </row>
    <row r="137" spans="1:7" x14ac:dyDescent="0.2">
      <c r="A137" s="43"/>
      <c r="B137" s="43"/>
      <c r="C137" s="43"/>
      <c r="D137" s="43"/>
      <c r="E137" s="43"/>
      <c r="F137" s="43"/>
      <c r="G137" s="43"/>
    </row>
    <row r="138" spans="1:7" x14ac:dyDescent="0.2">
      <c r="A138" s="44"/>
      <c r="B138" s="44"/>
      <c r="C138" s="44"/>
      <c r="D138" s="44"/>
      <c r="E138" s="44"/>
      <c r="F138" s="44"/>
      <c r="G138" s="44"/>
    </row>
    <row r="139" spans="1:7" x14ac:dyDescent="0.2">
      <c r="A139" s="43"/>
      <c r="B139" s="43"/>
      <c r="C139" s="43"/>
      <c r="D139" s="43"/>
      <c r="E139" s="43"/>
      <c r="F139" s="43"/>
      <c r="G139" s="43"/>
    </row>
    <row r="140" spans="1:7" x14ac:dyDescent="0.2">
      <c r="A140" s="44"/>
      <c r="B140" s="44"/>
      <c r="C140" s="44"/>
      <c r="D140" s="44"/>
      <c r="E140" s="44"/>
      <c r="F140" s="44"/>
      <c r="G140" s="44"/>
    </row>
    <row r="141" spans="1:7" x14ac:dyDescent="0.2">
      <c r="A141" s="43"/>
      <c r="B141" s="43"/>
      <c r="C141" s="43"/>
      <c r="D141" s="43"/>
      <c r="E141" s="43"/>
      <c r="F141" s="43"/>
      <c r="G141" s="43"/>
    </row>
    <row r="142" spans="1:7" x14ac:dyDescent="0.2">
      <c r="A142" s="44"/>
      <c r="B142" s="44"/>
      <c r="C142" s="44"/>
      <c r="D142" s="44"/>
      <c r="E142" s="44"/>
      <c r="F142" s="44"/>
      <c r="G142" s="44"/>
    </row>
    <row r="143" spans="1:7" x14ac:dyDescent="0.2">
      <c r="A143" s="43"/>
      <c r="B143" s="43"/>
      <c r="C143" s="43"/>
      <c r="D143" s="43"/>
      <c r="E143" s="43"/>
      <c r="F143" s="43"/>
      <c r="G143" s="43"/>
    </row>
    <row r="144" spans="1:7" x14ac:dyDescent="0.2">
      <c r="A144" s="44"/>
      <c r="B144" s="44"/>
      <c r="C144" s="44"/>
      <c r="D144" s="44"/>
      <c r="E144" s="44"/>
      <c r="F144" s="44"/>
      <c r="G144" s="44"/>
    </row>
    <row r="145" spans="1:7" x14ac:dyDescent="0.2">
      <c r="A145" s="43"/>
      <c r="B145" s="43"/>
      <c r="C145" s="43"/>
      <c r="D145" s="43"/>
      <c r="E145" s="43"/>
      <c r="F145" s="43"/>
      <c r="G145" s="43"/>
    </row>
    <row r="146" spans="1:7" x14ac:dyDescent="0.2">
      <c r="A146" s="44"/>
      <c r="B146" s="44"/>
      <c r="C146" s="44"/>
      <c r="D146" s="44"/>
      <c r="E146" s="44"/>
      <c r="F146" s="44"/>
      <c r="G146" s="44"/>
    </row>
    <row r="147" spans="1:7" x14ac:dyDescent="0.2">
      <c r="A147" s="43"/>
      <c r="B147" s="43"/>
      <c r="C147" s="43"/>
      <c r="D147" s="43"/>
      <c r="E147" s="43"/>
      <c r="F147" s="43"/>
      <c r="G147" s="43"/>
    </row>
    <row r="148" spans="1:7" x14ac:dyDescent="0.2">
      <c r="A148" s="44"/>
      <c r="B148" s="44"/>
      <c r="C148" s="44"/>
      <c r="D148" s="44"/>
      <c r="E148" s="44"/>
      <c r="F148" s="44"/>
      <c r="G148" s="44"/>
    </row>
    <row r="149" spans="1:7" x14ac:dyDescent="0.2">
      <c r="A149" s="43"/>
      <c r="B149" s="43"/>
      <c r="C149" s="43"/>
      <c r="D149" s="43"/>
      <c r="E149" s="43"/>
      <c r="F149" s="43"/>
      <c r="G149" s="43"/>
    </row>
    <row r="150" spans="1:7" x14ac:dyDescent="0.2">
      <c r="A150" s="44"/>
      <c r="B150" s="44"/>
      <c r="C150" s="44"/>
      <c r="D150" s="44"/>
      <c r="E150" s="44"/>
      <c r="F150" s="44"/>
      <c r="G150" s="44"/>
    </row>
    <row r="151" spans="1:7" x14ac:dyDescent="0.2">
      <c r="A151" s="43"/>
      <c r="B151" s="43"/>
      <c r="C151" s="43"/>
      <c r="D151" s="43"/>
      <c r="E151" s="43"/>
      <c r="F151" s="43"/>
      <c r="G151" s="43"/>
    </row>
    <row r="152" spans="1:7" x14ac:dyDescent="0.2">
      <c r="A152" s="44"/>
      <c r="B152" s="44"/>
      <c r="C152" s="44"/>
      <c r="D152" s="44"/>
      <c r="E152" s="44"/>
      <c r="F152" s="44"/>
      <c r="G152" s="44"/>
    </row>
    <row r="153" spans="1:7" x14ac:dyDescent="0.2">
      <c r="A153" s="43"/>
      <c r="B153" s="43"/>
      <c r="C153" s="43"/>
      <c r="D153" s="43"/>
      <c r="E153" s="43"/>
      <c r="F153" s="43"/>
      <c r="G153" s="43"/>
    </row>
    <row r="154" spans="1:7" x14ac:dyDescent="0.2">
      <c r="A154" s="44"/>
      <c r="B154" s="44"/>
      <c r="C154" s="44"/>
      <c r="D154" s="44"/>
      <c r="E154" s="44"/>
      <c r="F154" s="44"/>
      <c r="G154" s="44"/>
    </row>
    <row r="155" spans="1:7" x14ac:dyDescent="0.2">
      <c r="A155" s="43"/>
      <c r="B155" s="43"/>
      <c r="C155" s="43"/>
      <c r="D155" s="43"/>
      <c r="E155" s="43"/>
      <c r="F155" s="43"/>
      <c r="G155" s="43"/>
    </row>
    <row r="156" spans="1:7" x14ac:dyDescent="0.2">
      <c r="A156" s="44"/>
      <c r="B156" s="44"/>
      <c r="C156" s="44"/>
      <c r="D156" s="44"/>
      <c r="E156" s="44"/>
      <c r="F156" s="44"/>
      <c r="G156" s="44"/>
    </row>
    <row r="157" spans="1:7" x14ac:dyDescent="0.2">
      <c r="A157" s="43"/>
      <c r="B157" s="43"/>
      <c r="C157" s="43"/>
      <c r="D157" s="43"/>
      <c r="E157" s="43"/>
      <c r="F157" s="43"/>
      <c r="G157" s="43"/>
    </row>
    <row r="158" spans="1:7" x14ac:dyDescent="0.2">
      <c r="A158" s="44"/>
      <c r="B158" s="44"/>
      <c r="C158" s="44"/>
      <c r="D158" s="44"/>
      <c r="E158" s="44"/>
      <c r="F158" s="44"/>
      <c r="G158" s="44"/>
    </row>
    <row r="159" spans="1:7" x14ac:dyDescent="0.2">
      <c r="A159" s="43"/>
      <c r="B159" s="43"/>
      <c r="C159" s="43"/>
      <c r="D159" s="43"/>
      <c r="E159" s="43"/>
      <c r="F159" s="43"/>
      <c r="G159" s="43"/>
    </row>
    <row r="160" spans="1:7" x14ac:dyDescent="0.2">
      <c r="A160" s="44"/>
      <c r="B160" s="44"/>
      <c r="C160" s="44"/>
      <c r="D160" s="44"/>
      <c r="E160" s="44"/>
      <c r="F160" s="44"/>
      <c r="G160" s="44"/>
    </row>
    <row r="161" spans="1:7" x14ac:dyDescent="0.2">
      <c r="A161" s="43"/>
      <c r="B161" s="43"/>
      <c r="C161" s="43"/>
      <c r="D161" s="43"/>
      <c r="E161" s="43"/>
      <c r="F161" s="43"/>
      <c r="G161" s="43"/>
    </row>
    <row r="162" spans="1:7" x14ac:dyDescent="0.2">
      <c r="A162" s="44"/>
      <c r="B162" s="44"/>
      <c r="C162" s="44"/>
      <c r="D162" s="44"/>
      <c r="E162" s="44"/>
      <c r="F162" s="44"/>
      <c r="G162" s="44"/>
    </row>
    <row r="163" spans="1:7" x14ac:dyDescent="0.2">
      <c r="A163" s="43"/>
      <c r="B163" s="43"/>
      <c r="C163" s="43"/>
      <c r="D163" s="43"/>
      <c r="E163" s="43"/>
      <c r="F163" s="43"/>
      <c r="G163" s="43"/>
    </row>
    <row r="164" spans="1:7" x14ac:dyDescent="0.2">
      <c r="A164" s="44"/>
      <c r="B164" s="44"/>
      <c r="C164" s="44"/>
      <c r="D164" s="44"/>
      <c r="E164" s="44"/>
      <c r="F164" s="44"/>
      <c r="G164" s="44"/>
    </row>
    <row r="165" spans="1:7" x14ac:dyDescent="0.2">
      <c r="A165" s="43"/>
      <c r="B165" s="43"/>
      <c r="C165" s="43"/>
      <c r="D165" s="43"/>
      <c r="E165" s="43"/>
      <c r="F165" s="43"/>
      <c r="G165" s="43"/>
    </row>
    <row r="166" spans="1:7" x14ac:dyDescent="0.2">
      <c r="A166" s="44"/>
      <c r="B166" s="44"/>
      <c r="C166" s="44"/>
      <c r="D166" s="44"/>
      <c r="E166" s="44"/>
      <c r="F166" s="44"/>
      <c r="G166" s="44"/>
    </row>
    <row r="167" spans="1:7" x14ac:dyDescent="0.2">
      <c r="A167" s="43"/>
      <c r="B167" s="43"/>
      <c r="C167" s="43"/>
      <c r="D167" s="43"/>
      <c r="E167" s="43"/>
      <c r="F167" s="43"/>
      <c r="G167" s="43"/>
    </row>
    <row r="168" spans="1:7" x14ac:dyDescent="0.2">
      <c r="A168" s="44"/>
      <c r="B168" s="44"/>
      <c r="C168" s="44"/>
      <c r="D168" s="44"/>
      <c r="E168" s="44"/>
      <c r="F168" s="44"/>
      <c r="G168" s="44"/>
    </row>
    <row r="169" spans="1:7" x14ac:dyDescent="0.2">
      <c r="A169" s="43"/>
      <c r="B169" s="43"/>
      <c r="C169" s="43"/>
      <c r="D169" s="43"/>
      <c r="E169" s="43"/>
      <c r="F169" s="43"/>
      <c r="G169" s="43"/>
    </row>
    <row r="170" spans="1:7" x14ac:dyDescent="0.2">
      <c r="A170" s="44"/>
      <c r="B170" s="44"/>
      <c r="C170" s="44"/>
      <c r="D170" s="44"/>
      <c r="E170" s="44"/>
      <c r="F170" s="44"/>
      <c r="G170" s="44"/>
    </row>
    <row r="171" spans="1:7" x14ac:dyDescent="0.2">
      <c r="A171" s="43"/>
      <c r="B171" s="43"/>
      <c r="C171" s="43"/>
      <c r="D171" s="43"/>
      <c r="E171" s="43"/>
      <c r="F171" s="43"/>
      <c r="G171" s="43"/>
    </row>
    <row r="172" spans="1:7" x14ac:dyDescent="0.2">
      <c r="A172" s="44"/>
      <c r="B172" s="44"/>
      <c r="C172" s="44"/>
      <c r="D172" s="44"/>
      <c r="E172" s="44"/>
      <c r="F172" s="44"/>
      <c r="G172" s="44"/>
    </row>
    <row r="173" spans="1:7" x14ac:dyDescent="0.2">
      <c r="A173" s="43"/>
      <c r="B173" s="43"/>
      <c r="C173" s="43"/>
      <c r="D173" s="43"/>
      <c r="E173" s="43"/>
      <c r="F173" s="43"/>
      <c r="G173" s="43"/>
    </row>
    <row r="174" spans="1:7" x14ac:dyDescent="0.2">
      <c r="A174" s="44"/>
      <c r="B174" s="44"/>
      <c r="C174" s="44"/>
      <c r="D174" s="44"/>
      <c r="E174" s="44"/>
      <c r="F174" s="44"/>
      <c r="G174" s="44"/>
    </row>
    <row r="175" spans="1:7" x14ac:dyDescent="0.2">
      <c r="A175" s="43"/>
      <c r="B175" s="43"/>
      <c r="C175" s="43"/>
      <c r="D175" s="43"/>
      <c r="E175" s="43"/>
      <c r="F175" s="43"/>
      <c r="G175" s="43"/>
    </row>
    <row r="176" spans="1:7" x14ac:dyDescent="0.2">
      <c r="A176" s="44"/>
      <c r="B176" s="44"/>
      <c r="C176" s="44"/>
      <c r="D176" s="44"/>
      <c r="E176" s="44"/>
      <c r="F176" s="44"/>
      <c r="G176" s="44"/>
    </row>
    <row r="177" spans="1:7" x14ac:dyDescent="0.2">
      <c r="A177" s="43"/>
      <c r="B177" s="43"/>
      <c r="C177" s="43"/>
      <c r="D177" s="43"/>
      <c r="E177" s="43"/>
      <c r="F177" s="43"/>
      <c r="G177" s="43"/>
    </row>
    <row r="178" spans="1:7" x14ac:dyDescent="0.2">
      <c r="A178" s="44"/>
      <c r="B178" s="44"/>
      <c r="C178" s="44"/>
      <c r="D178" s="44"/>
      <c r="E178" s="44"/>
      <c r="F178" s="44"/>
      <c r="G178" s="44"/>
    </row>
    <row r="179" spans="1:7" x14ac:dyDescent="0.2">
      <c r="A179" s="43"/>
      <c r="B179" s="43"/>
      <c r="C179" s="43"/>
      <c r="D179" s="43"/>
      <c r="E179" s="43"/>
      <c r="F179" s="43"/>
      <c r="G179" s="43"/>
    </row>
    <row r="180" spans="1:7" x14ac:dyDescent="0.2">
      <c r="A180" s="44"/>
      <c r="B180" s="44"/>
      <c r="C180" s="44"/>
      <c r="D180" s="44"/>
      <c r="E180" s="44"/>
      <c r="F180" s="44"/>
      <c r="G180" s="44"/>
    </row>
    <row r="181" spans="1:7" x14ac:dyDescent="0.2">
      <c r="A181" s="43"/>
      <c r="B181" s="43"/>
      <c r="C181" s="43"/>
      <c r="D181" s="43"/>
      <c r="E181" s="43"/>
      <c r="F181" s="43"/>
      <c r="G181" s="43"/>
    </row>
    <row r="182" spans="1:7" x14ac:dyDescent="0.2">
      <c r="A182" s="44"/>
      <c r="B182" s="44"/>
      <c r="C182" s="44"/>
      <c r="D182" s="44"/>
      <c r="E182" s="44"/>
      <c r="F182" s="44"/>
      <c r="G182" s="44"/>
    </row>
    <row r="183" spans="1:7" x14ac:dyDescent="0.2">
      <c r="A183" s="43"/>
      <c r="B183" s="43"/>
      <c r="C183" s="43"/>
      <c r="D183" s="43"/>
      <c r="E183" s="43"/>
      <c r="F183" s="43"/>
      <c r="G183" s="43"/>
    </row>
    <row r="184" spans="1:7" x14ac:dyDescent="0.2">
      <c r="A184" s="44"/>
      <c r="B184" s="44"/>
      <c r="C184" s="44"/>
      <c r="D184" s="44"/>
      <c r="E184" s="44"/>
      <c r="F184" s="44"/>
      <c r="G184" s="44"/>
    </row>
    <row r="185" spans="1:7" x14ac:dyDescent="0.2">
      <c r="A185" s="43"/>
      <c r="B185" s="43"/>
      <c r="C185" s="43"/>
      <c r="D185" s="43"/>
      <c r="E185" s="43"/>
      <c r="F185" s="43"/>
      <c r="G185" s="43"/>
    </row>
    <row r="186" spans="1:7" x14ac:dyDescent="0.2">
      <c r="A186" s="44"/>
      <c r="B186" s="44"/>
      <c r="C186" s="44"/>
      <c r="D186" s="44"/>
      <c r="E186" s="44"/>
      <c r="F186" s="44"/>
      <c r="G186" s="44"/>
    </row>
    <row r="187" spans="1:7" x14ac:dyDescent="0.2">
      <c r="A187" s="43"/>
      <c r="B187" s="43"/>
      <c r="C187" s="43"/>
      <c r="D187" s="43"/>
      <c r="E187" s="43"/>
      <c r="F187" s="43"/>
      <c r="G187" s="43"/>
    </row>
    <row r="188" spans="1:7" x14ac:dyDescent="0.2">
      <c r="A188" s="44"/>
      <c r="B188" s="44"/>
      <c r="C188" s="44"/>
      <c r="D188" s="44"/>
      <c r="E188" s="44"/>
      <c r="F188" s="44"/>
      <c r="G188" s="44"/>
    </row>
    <row r="189" spans="1:7" x14ac:dyDescent="0.2">
      <c r="A189" s="43"/>
      <c r="B189" s="43"/>
      <c r="C189" s="43"/>
      <c r="D189" s="43"/>
      <c r="E189" s="43"/>
      <c r="F189" s="43"/>
      <c r="G189" s="43"/>
    </row>
    <row r="190" spans="1:7" x14ac:dyDescent="0.2">
      <c r="A190" s="44"/>
      <c r="B190" s="44"/>
      <c r="C190" s="44"/>
      <c r="D190" s="44"/>
      <c r="E190" s="44"/>
      <c r="F190" s="44"/>
      <c r="G190" s="44"/>
    </row>
    <row r="191" spans="1:7" x14ac:dyDescent="0.2">
      <c r="A191" s="43"/>
      <c r="B191" s="43"/>
      <c r="C191" s="43"/>
      <c r="D191" s="43"/>
      <c r="E191" s="43"/>
      <c r="F191" s="43"/>
      <c r="G191" s="43"/>
    </row>
    <row r="192" spans="1:7" x14ac:dyDescent="0.2">
      <c r="A192" s="44"/>
      <c r="B192" s="44"/>
      <c r="C192" s="44"/>
      <c r="D192" s="44"/>
      <c r="E192" s="44"/>
      <c r="F192" s="44"/>
      <c r="G192" s="44"/>
    </row>
    <row r="193" spans="1:7" x14ac:dyDescent="0.2">
      <c r="A193" s="43"/>
      <c r="B193" s="43"/>
      <c r="C193" s="43"/>
      <c r="D193" s="43"/>
      <c r="E193" s="43"/>
      <c r="F193" s="43"/>
      <c r="G193" s="43"/>
    </row>
    <row r="194" spans="1:7" x14ac:dyDescent="0.2">
      <c r="A194" s="44"/>
      <c r="B194" s="44"/>
      <c r="C194" s="44"/>
      <c r="D194" s="44"/>
      <c r="E194" s="44"/>
      <c r="F194" s="44"/>
      <c r="G194" s="44"/>
    </row>
    <row r="195" spans="1:7" x14ac:dyDescent="0.2">
      <c r="A195" s="43"/>
      <c r="B195" s="43"/>
      <c r="C195" s="43"/>
      <c r="D195" s="43"/>
      <c r="E195" s="43"/>
      <c r="F195" s="43"/>
      <c r="G195" s="43"/>
    </row>
    <row r="196" spans="1:7" x14ac:dyDescent="0.2">
      <c r="A196" s="44"/>
      <c r="B196" s="44"/>
      <c r="C196" s="44"/>
      <c r="D196" s="44"/>
      <c r="E196" s="44"/>
      <c r="F196" s="44"/>
      <c r="G196" s="44"/>
    </row>
    <row r="197" spans="1:7" x14ac:dyDescent="0.2">
      <c r="A197" s="43"/>
      <c r="B197" s="43"/>
      <c r="C197" s="43"/>
      <c r="D197" s="43"/>
      <c r="E197" s="43"/>
      <c r="F197" s="43"/>
      <c r="G197" s="43"/>
    </row>
    <row r="198" spans="1:7" x14ac:dyDescent="0.2">
      <c r="A198" s="44"/>
      <c r="B198" s="44"/>
      <c r="C198" s="44"/>
      <c r="D198" s="44"/>
      <c r="E198" s="44"/>
      <c r="F198" s="44"/>
      <c r="G198" s="44"/>
    </row>
    <row r="199" spans="1:7" x14ac:dyDescent="0.2">
      <c r="A199" s="43"/>
      <c r="B199" s="43"/>
      <c r="C199" s="43"/>
      <c r="D199" s="43"/>
      <c r="E199" s="43"/>
      <c r="F199" s="43"/>
      <c r="G199" s="43"/>
    </row>
    <row r="200" spans="1:7" x14ac:dyDescent="0.2">
      <c r="A200" s="44"/>
      <c r="B200" s="44"/>
      <c r="C200" s="44"/>
      <c r="D200" s="44"/>
      <c r="E200" s="44"/>
      <c r="F200" s="44"/>
      <c r="G200" s="44"/>
    </row>
    <row r="201" spans="1:7" x14ac:dyDescent="0.2">
      <c r="A201" s="43"/>
      <c r="B201" s="43"/>
      <c r="C201" s="43"/>
      <c r="D201" s="43"/>
      <c r="E201" s="43"/>
      <c r="F201" s="43"/>
      <c r="G201" s="43"/>
    </row>
    <row r="202" spans="1:7" x14ac:dyDescent="0.2">
      <c r="A202" s="44"/>
      <c r="B202" s="44"/>
      <c r="C202" s="44"/>
      <c r="D202" s="44"/>
      <c r="E202" s="44"/>
      <c r="F202" s="44"/>
      <c r="G202" s="44"/>
    </row>
    <row r="203" spans="1:7" x14ac:dyDescent="0.2">
      <c r="A203" s="43"/>
      <c r="B203" s="43"/>
      <c r="C203" s="43"/>
      <c r="D203" s="43"/>
      <c r="E203" s="43"/>
      <c r="F203" s="43"/>
      <c r="G203" s="43"/>
    </row>
    <row r="204" spans="1:7" x14ac:dyDescent="0.2">
      <c r="A204" s="44"/>
      <c r="B204" s="44"/>
      <c r="C204" s="44"/>
      <c r="D204" s="44"/>
      <c r="E204" s="44"/>
      <c r="F204" s="44"/>
      <c r="G204" s="44"/>
    </row>
    <row r="205" spans="1:7" x14ac:dyDescent="0.2">
      <c r="A205" s="43"/>
      <c r="B205" s="43"/>
      <c r="C205" s="43"/>
      <c r="D205" s="43"/>
      <c r="E205" s="43"/>
      <c r="F205" s="43"/>
      <c r="G205" s="43"/>
    </row>
    <row r="206" spans="1:7" x14ac:dyDescent="0.2">
      <c r="A206" s="44"/>
      <c r="B206" s="44"/>
      <c r="C206" s="44"/>
      <c r="D206" s="44"/>
      <c r="E206" s="44"/>
      <c r="F206" s="44"/>
      <c r="G206" s="44"/>
    </row>
    <row r="207" spans="1:7" x14ac:dyDescent="0.2">
      <c r="A207" s="43"/>
      <c r="B207" s="43"/>
      <c r="C207" s="43"/>
      <c r="D207" s="43"/>
      <c r="E207" s="43"/>
      <c r="F207" s="43"/>
      <c r="G207" s="43"/>
    </row>
    <row r="208" spans="1:7" x14ac:dyDescent="0.2">
      <c r="A208" s="44"/>
      <c r="B208" s="44"/>
      <c r="C208" s="44"/>
      <c r="D208" s="44"/>
      <c r="E208" s="44"/>
      <c r="F208" s="44"/>
      <c r="G208" s="44"/>
    </row>
    <row r="209" spans="1:7" x14ac:dyDescent="0.2">
      <c r="A209" s="43"/>
      <c r="B209" s="43"/>
      <c r="C209" s="43"/>
      <c r="D209" s="43"/>
      <c r="E209" s="43"/>
      <c r="F209" s="43"/>
      <c r="G209" s="43"/>
    </row>
    <row r="210" spans="1:7" x14ac:dyDescent="0.2">
      <c r="A210" s="44"/>
      <c r="B210" s="44"/>
      <c r="C210" s="44"/>
      <c r="D210" s="44"/>
      <c r="E210" s="44"/>
      <c r="F210" s="44"/>
      <c r="G210" s="44"/>
    </row>
    <row r="211" spans="1:7" x14ac:dyDescent="0.2">
      <c r="A211" s="43"/>
      <c r="B211" s="43"/>
      <c r="C211" s="43"/>
      <c r="D211" s="43"/>
      <c r="E211" s="43"/>
      <c r="F211" s="43"/>
      <c r="G211" s="43"/>
    </row>
    <row r="212" spans="1:7" x14ac:dyDescent="0.2">
      <c r="A212" s="44"/>
      <c r="B212" s="44"/>
      <c r="C212" s="44"/>
      <c r="D212" s="44"/>
      <c r="E212" s="44"/>
      <c r="F212" s="44"/>
      <c r="G212" s="44"/>
    </row>
    <row r="213" spans="1:7" x14ac:dyDescent="0.2">
      <c r="A213" s="43"/>
      <c r="B213" s="43"/>
      <c r="C213" s="43"/>
      <c r="D213" s="43"/>
      <c r="E213" s="43"/>
      <c r="F213" s="43"/>
      <c r="G213" s="43"/>
    </row>
    <row r="214" spans="1:7" x14ac:dyDescent="0.2">
      <c r="A214" s="44"/>
      <c r="B214" s="44"/>
      <c r="C214" s="44"/>
      <c r="D214" s="44"/>
      <c r="E214" s="44"/>
      <c r="F214" s="44"/>
      <c r="G214" s="44"/>
    </row>
    <row r="215" spans="1:7" x14ac:dyDescent="0.2">
      <c r="A215" s="43"/>
      <c r="B215" s="43"/>
      <c r="C215" s="43"/>
      <c r="D215" s="43"/>
      <c r="E215" s="43"/>
      <c r="F215" s="43"/>
      <c r="G215" s="43"/>
    </row>
    <row r="216" spans="1:7" x14ac:dyDescent="0.2">
      <c r="A216" s="44"/>
      <c r="B216" s="44"/>
      <c r="C216" s="44"/>
      <c r="D216" s="44"/>
      <c r="E216" s="44"/>
      <c r="F216" s="44"/>
      <c r="G216" s="44"/>
    </row>
    <row r="217" spans="1:7" x14ac:dyDescent="0.2">
      <c r="A217" s="43"/>
      <c r="B217" s="43"/>
      <c r="C217" s="43"/>
      <c r="D217" s="43"/>
      <c r="E217" s="43"/>
      <c r="F217" s="43"/>
      <c r="G217" s="43"/>
    </row>
    <row r="218" spans="1:7" x14ac:dyDescent="0.2">
      <c r="A218" s="44"/>
      <c r="B218" s="44"/>
      <c r="C218" s="44"/>
      <c r="D218" s="44"/>
      <c r="E218" s="44"/>
      <c r="F218" s="44"/>
      <c r="G218" s="44"/>
    </row>
    <row r="219" spans="1:7" x14ac:dyDescent="0.2">
      <c r="A219" s="43"/>
      <c r="B219" s="43"/>
      <c r="C219" s="43"/>
      <c r="D219" s="43"/>
      <c r="E219" s="43"/>
      <c r="F219" s="43"/>
      <c r="G219" s="43"/>
    </row>
    <row r="220" spans="1:7" x14ac:dyDescent="0.2">
      <c r="A220" s="44"/>
      <c r="B220" s="44"/>
      <c r="C220" s="44"/>
      <c r="D220" s="44"/>
      <c r="E220" s="44"/>
      <c r="F220" s="44"/>
      <c r="G220" s="44"/>
    </row>
    <row r="221" spans="1:7" x14ac:dyDescent="0.2">
      <c r="A221" s="43"/>
      <c r="B221" s="43"/>
      <c r="C221" s="43"/>
      <c r="D221" s="43"/>
      <c r="E221" s="43"/>
      <c r="F221" s="43"/>
      <c r="G221" s="43"/>
    </row>
    <row r="222" spans="1:7" x14ac:dyDescent="0.2">
      <c r="A222" s="44"/>
      <c r="B222" s="44"/>
      <c r="C222" s="44"/>
      <c r="D222" s="44"/>
      <c r="E222" s="44"/>
      <c r="F222" s="44"/>
      <c r="G222" s="44"/>
    </row>
    <row r="223" spans="1:7" x14ac:dyDescent="0.2">
      <c r="A223" s="43"/>
      <c r="B223" s="43"/>
      <c r="C223" s="43"/>
      <c r="D223" s="43"/>
      <c r="E223" s="43"/>
      <c r="F223" s="43"/>
      <c r="G223" s="43"/>
    </row>
    <row r="224" spans="1:7" x14ac:dyDescent="0.2">
      <c r="A224" s="44"/>
      <c r="B224" s="44"/>
      <c r="C224" s="44"/>
      <c r="D224" s="44"/>
      <c r="E224" s="44"/>
      <c r="F224" s="44"/>
      <c r="G224" s="44"/>
    </row>
    <row r="225" spans="1:7" x14ac:dyDescent="0.2">
      <c r="A225" s="43"/>
      <c r="B225" s="43"/>
      <c r="C225" s="43"/>
      <c r="D225" s="43"/>
      <c r="E225" s="43"/>
      <c r="F225" s="43"/>
      <c r="G225" s="43"/>
    </row>
    <row r="226" spans="1:7" x14ac:dyDescent="0.2">
      <c r="A226" s="44"/>
      <c r="B226" s="44"/>
      <c r="C226" s="44"/>
      <c r="D226" s="44"/>
      <c r="E226" s="44"/>
      <c r="F226" s="44"/>
      <c r="G226" s="44"/>
    </row>
    <row r="227" spans="1:7" x14ac:dyDescent="0.2">
      <c r="A227" s="43"/>
      <c r="B227" s="43"/>
      <c r="C227" s="43"/>
      <c r="D227" s="43"/>
      <c r="E227" s="43"/>
      <c r="F227" s="43"/>
      <c r="G227" s="43"/>
    </row>
    <row r="228" spans="1:7" x14ac:dyDescent="0.2">
      <c r="A228" s="44"/>
      <c r="B228" s="44"/>
      <c r="C228" s="44"/>
      <c r="D228" s="44"/>
      <c r="E228" s="44"/>
      <c r="F228" s="44"/>
      <c r="G228" s="44"/>
    </row>
    <row r="229" spans="1:7" x14ac:dyDescent="0.2">
      <c r="A229" s="43"/>
      <c r="B229" s="43"/>
      <c r="C229" s="43"/>
      <c r="D229" s="43"/>
      <c r="E229" s="43"/>
      <c r="F229" s="43"/>
      <c r="G229" s="43"/>
    </row>
    <row r="230" spans="1:7" x14ac:dyDescent="0.2">
      <c r="A230" s="44"/>
      <c r="B230" s="44"/>
      <c r="C230" s="44"/>
      <c r="D230" s="44"/>
      <c r="E230" s="44"/>
      <c r="F230" s="44"/>
      <c r="G230" s="44"/>
    </row>
    <row r="231" spans="1:7" x14ac:dyDescent="0.2">
      <c r="A231" s="43"/>
      <c r="B231" s="43"/>
      <c r="C231" s="43"/>
      <c r="D231" s="43"/>
      <c r="E231" s="43"/>
      <c r="F231" s="43"/>
      <c r="G231" s="43"/>
    </row>
    <row r="232" spans="1:7" x14ac:dyDescent="0.2">
      <c r="A232" s="44"/>
      <c r="B232" s="44"/>
      <c r="C232" s="44"/>
      <c r="D232" s="44"/>
      <c r="E232" s="44"/>
      <c r="F232" s="44"/>
      <c r="G232" s="44"/>
    </row>
    <row r="233" spans="1:7" x14ac:dyDescent="0.2">
      <c r="A233" s="43"/>
      <c r="B233" s="43"/>
      <c r="C233" s="43"/>
      <c r="D233" s="43"/>
      <c r="E233" s="43"/>
      <c r="F233" s="43"/>
      <c r="G233" s="43"/>
    </row>
    <row r="234" spans="1:7" x14ac:dyDescent="0.2">
      <c r="A234" s="44"/>
      <c r="B234" s="44"/>
      <c r="C234" s="44"/>
      <c r="D234" s="44"/>
      <c r="E234" s="44"/>
      <c r="F234" s="44"/>
      <c r="G234" s="44"/>
    </row>
    <row r="235" spans="1:7" x14ac:dyDescent="0.2">
      <c r="A235" s="43"/>
      <c r="B235" s="43"/>
      <c r="C235" s="43"/>
      <c r="D235" s="43"/>
      <c r="E235" s="43"/>
      <c r="F235" s="43"/>
      <c r="G235" s="43"/>
    </row>
    <row r="236" spans="1:7" x14ac:dyDescent="0.2">
      <c r="A236" s="44"/>
      <c r="B236" s="44"/>
      <c r="C236" s="44"/>
      <c r="D236" s="44"/>
      <c r="E236" s="44"/>
      <c r="F236" s="44"/>
      <c r="G236" s="44"/>
    </row>
    <row r="237" spans="1:7" x14ac:dyDescent="0.2">
      <c r="A237" s="43"/>
      <c r="B237" s="43"/>
      <c r="C237" s="43"/>
      <c r="D237" s="43"/>
      <c r="E237" s="43"/>
      <c r="F237" s="43"/>
      <c r="G237" s="43"/>
    </row>
    <row r="238" spans="1:7" x14ac:dyDescent="0.2">
      <c r="A238" s="44"/>
      <c r="B238" s="44"/>
      <c r="C238" s="44"/>
      <c r="D238" s="44"/>
      <c r="E238" s="44"/>
      <c r="F238" s="44"/>
      <c r="G238" s="44"/>
    </row>
    <row r="239" spans="1:7" x14ac:dyDescent="0.2">
      <c r="A239" s="43"/>
      <c r="B239" s="43"/>
      <c r="C239" s="43"/>
      <c r="D239" s="43"/>
      <c r="E239" s="43"/>
      <c r="F239" s="43"/>
      <c r="G239" s="43"/>
    </row>
    <row r="240" spans="1:7" x14ac:dyDescent="0.2">
      <c r="A240" s="44"/>
      <c r="B240" s="44"/>
      <c r="C240" s="44"/>
      <c r="D240" s="44"/>
      <c r="E240" s="44"/>
      <c r="F240" s="44"/>
      <c r="G240" s="44"/>
    </row>
    <row r="241" spans="1:7" x14ac:dyDescent="0.2">
      <c r="A241" s="43"/>
      <c r="B241" s="43"/>
      <c r="C241" s="43"/>
      <c r="D241" s="43"/>
      <c r="E241" s="43"/>
      <c r="F241" s="43"/>
      <c r="G241" s="43"/>
    </row>
    <row r="242" spans="1:7" x14ac:dyDescent="0.2">
      <c r="A242" s="44"/>
      <c r="B242" s="44"/>
      <c r="C242" s="44"/>
      <c r="D242" s="44"/>
      <c r="E242" s="44"/>
      <c r="F242" s="44"/>
      <c r="G242" s="44"/>
    </row>
    <row r="243" spans="1:7" x14ac:dyDescent="0.2">
      <c r="A243" s="43"/>
      <c r="B243" s="43"/>
      <c r="C243" s="43"/>
      <c r="D243" s="43"/>
      <c r="E243" s="43"/>
      <c r="F243" s="43"/>
      <c r="G243" s="43"/>
    </row>
    <row r="244" spans="1:7" x14ac:dyDescent="0.2">
      <c r="A244" s="44"/>
      <c r="B244" s="44"/>
      <c r="C244" s="44"/>
      <c r="D244" s="44"/>
      <c r="E244" s="44"/>
      <c r="F244" s="44"/>
      <c r="G244" s="44"/>
    </row>
    <row r="245" spans="1:7" x14ac:dyDescent="0.2">
      <c r="A245" s="43"/>
      <c r="B245" s="43"/>
      <c r="C245" s="43"/>
      <c r="D245" s="43"/>
      <c r="E245" s="43"/>
      <c r="F245" s="43"/>
      <c r="G245" s="43"/>
    </row>
    <row r="246" spans="1:7" x14ac:dyDescent="0.2">
      <c r="A246" s="44"/>
      <c r="B246" s="44"/>
      <c r="C246" s="44"/>
      <c r="D246" s="44"/>
      <c r="E246" s="44"/>
      <c r="F246" s="44"/>
      <c r="G246" s="44"/>
    </row>
    <row r="247" spans="1:7" x14ac:dyDescent="0.2">
      <c r="A247" s="43"/>
      <c r="B247" s="43"/>
      <c r="C247" s="43"/>
      <c r="D247" s="43"/>
      <c r="E247" s="43"/>
      <c r="F247" s="43"/>
      <c r="G247" s="43"/>
    </row>
    <row r="248" spans="1:7" x14ac:dyDescent="0.2">
      <c r="A248" s="44"/>
      <c r="B248" s="44"/>
      <c r="C248" s="44"/>
      <c r="D248" s="44"/>
      <c r="E248" s="44"/>
      <c r="F248" s="44"/>
      <c r="G248" s="44"/>
    </row>
    <row r="249" spans="1:7" x14ac:dyDescent="0.2">
      <c r="A249" s="43"/>
      <c r="B249" s="43"/>
      <c r="C249" s="43"/>
      <c r="D249" s="43"/>
      <c r="E249" s="43"/>
      <c r="F249" s="43"/>
      <c r="G249" s="43"/>
    </row>
    <row r="250" spans="1:7" x14ac:dyDescent="0.2">
      <c r="A250" s="44"/>
      <c r="B250" s="44"/>
      <c r="C250" s="44"/>
      <c r="D250" s="44"/>
      <c r="E250" s="44"/>
      <c r="F250" s="44"/>
      <c r="G250" s="44"/>
    </row>
    <row r="251" spans="1:7" x14ac:dyDescent="0.2">
      <c r="A251" s="43"/>
      <c r="B251" s="43"/>
      <c r="C251" s="43"/>
      <c r="D251" s="43"/>
      <c r="E251" s="43"/>
      <c r="F251" s="43"/>
      <c r="G251" s="43"/>
    </row>
    <row r="252" spans="1:7" x14ac:dyDescent="0.2">
      <c r="A252" s="44"/>
      <c r="B252" s="44"/>
      <c r="C252" s="44"/>
      <c r="D252" s="44"/>
      <c r="E252" s="44"/>
      <c r="F252" s="44"/>
      <c r="G252" s="44"/>
    </row>
    <row r="253" spans="1:7" x14ac:dyDescent="0.2">
      <c r="A253" s="43"/>
      <c r="B253" s="43"/>
      <c r="C253" s="43"/>
      <c r="D253" s="43"/>
      <c r="E253" s="43"/>
      <c r="F253" s="43"/>
      <c r="G253" s="43"/>
    </row>
    <row r="254" spans="1:7" x14ac:dyDescent="0.2">
      <c r="A254" s="44"/>
      <c r="B254" s="44"/>
      <c r="C254" s="44"/>
      <c r="D254" s="44"/>
      <c r="E254" s="44"/>
      <c r="F254" s="44"/>
      <c r="G254" s="44"/>
    </row>
    <row r="255" spans="1:7" x14ac:dyDescent="0.2">
      <c r="A255" s="43"/>
      <c r="B255" s="43"/>
      <c r="C255" s="43"/>
      <c r="D255" s="43"/>
      <c r="E255" s="43"/>
      <c r="F255" s="43"/>
      <c r="G255" s="43"/>
    </row>
    <row r="256" spans="1:7" x14ac:dyDescent="0.2">
      <c r="A256" s="44"/>
      <c r="B256" s="44"/>
      <c r="C256" s="44"/>
      <c r="D256" s="44"/>
      <c r="E256" s="44"/>
      <c r="F256" s="44"/>
      <c r="G256" s="44"/>
    </row>
    <row r="257" spans="1:7" x14ac:dyDescent="0.2">
      <c r="A257" s="43"/>
      <c r="B257" s="43"/>
      <c r="C257" s="43"/>
      <c r="D257" s="43"/>
      <c r="E257" s="43"/>
      <c r="F257" s="43"/>
      <c r="G257" s="43"/>
    </row>
    <row r="258" spans="1:7" x14ac:dyDescent="0.2">
      <c r="A258" s="44"/>
      <c r="B258" s="44"/>
      <c r="C258" s="44"/>
      <c r="D258" s="44"/>
      <c r="E258" s="44"/>
      <c r="F258" s="44"/>
      <c r="G258" s="44"/>
    </row>
    <row r="259" spans="1:7" x14ac:dyDescent="0.2">
      <c r="A259" s="43"/>
      <c r="B259" s="43"/>
      <c r="C259" s="43"/>
      <c r="D259" s="43"/>
      <c r="E259" s="43"/>
      <c r="F259" s="43"/>
      <c r="G259" s="43"/>
    </row>
    <row r="260" spans="1:7" x14ac:dyDescent="0.2">
      <c r="A260" s="44"/>
      <c r="B260" s="44"/>
      <c r="C260" s="44"/>
      <c r="D260" s="44"/>
      <c r="E260" s="44"/>
      <c r="F260" s="44"/>
      <c r="G260" s="44"/>
    </row>
    <row r="261" spans="1:7" x14ac:dyDescent="0.2">
      <c r="A261" s="43"/>
      <c r="B261" s="43"/>
      <c r="C261" s="43"/>
      <c r="D261" s="43"/>
      <c r="E261" s="43"/>
      <c r="F261" s="43"/>
      <c r="G261" s="43"/>
    </row>
    <row r="262" spans="1:7" x14ac:dyDescent="0.2">
      <c r="A262" s="44"/>
      <c r="B262" s="44"/>
      <c r="C262" s="44"/>
      <c r="D262" s="44"/>
      <c r="E262" s="44"/>
      <c r="F262" s="44"/>
      <c r="G262" s="44"/>
    </row>
    <row r="263" spans="1:7" x14ac:dyDescent="0.2">
      <c r="A263" s="43"/>
      <c r="B263" s="43"/>
      <c r="C263" s="43"/>
      <c r="D263" s="43"/>
      <c r="E263" s="43"/>
      <c r="F263" s="43"/>
      <c r="G263" s="43"/>
    </row>
    <row r="264" spans="1:7" x14ac:dyDescent="0.2">
      <c r="A264" s="44"/>
      <c r="B264" s="44"/>
      <c r="C264" s="44"/>
      <c r="D264" s="44"/>
      <c r="E264" s="44"/>
      <c r="F264" s="44"/>
      <c r="G264" s="44"/>
    </row>
    <row r="265" spans="1:7" x14ac:dyDescent="0.2">
      <c r="A265" s="43"/>
      <c r="B265" s="43"/>
      <c r="C265" s="43"/>
      <c r="D265" s="43"/>
      <c r="E265" s="43"/>
      <c r="F265" s="43"/>
      <c r="G265" s="43"/>
    </row>
    <row r="266" spans="1:7" x14ac:dyDescent="0.2">
      <c r="A266" s="44"/>
      <c r="B266" s="44"/>
      <c r="C266" s="44"/>
      <c r="D266" s="44"/>
      <c r="E266" s="44"/>
      <c r="F266" s="44"/>
      <c r="G266" s="44"/>
    </row>
    <row r="267" spans="1:7" x14ac:dyDescent="0.2">
      <c r="A267" s="43"/>
      <c r="B267" s="43"/>
      <c r="C267" s="43"/>
      <c r="D267" s="43"/>
      <c r="E267" s="43"/>
      <c r="F267" s="43"/>
      <c r="G267" s="43"/>
    </row>
    <row r="268" spans="1:7" x14ac:dyDescent="0.2">
      <c r="A268" s="44"/>
      <c r="B268" s="44"/>
      <c r="C268" s="44"/>
      <c r="D268" s="44"/>
      <c r="E268" s="44"/>
      <c r="F268" s="44"/>
      <c r="G268" s="44"/>
    </row>
    <row r="269" spans="1:7" x14ac:dyDescent="0.2">
      <c r="A269" s="43"/>
      <c r="B269" s="43"/>
      <c r="C269" s="43"/>
      <c r="D269" s="43"/>
      <c r="E269" s="43"/>
      <c r="F269" s="43"/>
      <c r="G269" s="43"/>
    </row>
    <row r="270" spans="1:7" x14ac:dyDescent="0.2">
      <c r="A270" s="44"/>
      <c r="B270" s="44"/>
      <c r="C270" s="44"/>
      <c r="D270" s="44"/>
      <c r="E270" s="44"/>
      <c r="F270" s="44"/>
      <c r="G270" s="44"/>
    </row>
    <row r="271" spans="1:7" x14ac:dyDescent="0.2">
      <c r="A271" s="43"/>
      <c r="B271" s="43"/>
      <c r="C271" s="43"/>
      <c r="D271" s="43"/>
      <c r="E271" s="43"/>
      <c r="F271" s="43"/>
      <c r="G271" s="43"/>
    </row>
    <row r="272" spans="1:7" x14ac:dyDescent="0.2">
      <c r="A272" s="44"/>
      <c r="B272" s="44"/>
      <c r="C272" s="44"/>
      <c r="D272" s="44"/>
      <c r="E272" s="44"/>
      <c r="F272" s="44"/>
      <c r="G272" s="44"/>
    </row>
    <row r="273" spans="1:7" x14ac:dyDescent="0.2">
      <c r="A273" s="43"/>
      <c r="B273" s="43"/>
      <c r="C273" s="43"/>
      <c r="D273" s="43"/>
      <c r="E273" s="43"/>
      <c r="F273" s="43"/>
      <c r="G273" s="43"/>
    </row>
    <row r="274" spans="1:7" x14ac:dyDescent="0.2">
      <c r="A274" s="44"/>
      <c r="B274" s="44"/>
      <c r="C274" s="44"/>
      <c r="D274" s="44"/>
      <c r="E274" s="44"/>
      <c r="F274" s="44"/>
      <c r="G274" s="44"/>
    </row>
    <row r="275" spans="1:7" x14ac:dyDescent="0.2">
      <c r="A275" s="43"/>
      <c r="B275" s="43"/>
      <c r="C275" s="43"/>
      <c r="D275" s="43"/>
      <c r="E275" s="43"/>
      <c r="F275" s="43"/>
      <c r="G275" s="43"/>
    </row>
    <row r="276" spans="1:7" x14ac:dyDescent="0.2">
      <c r="A276" s="44"/>
      <c r="B276" s="44"/>
      <c r="C276" s="44"/>
      <c r="D276" s="44"/>
      <c r="E276" s="44"/>
      <c r="F276" s="44"/>
      <c r="G276" s="44"/>
    </row>
    <row r="277" spans="1:7" x14ac:dyDescent="0.2">
      <c r="A277" s="43"/>
      <c r="B277" s="43"/>
      <c r="C277" s="43"/>
      <c r="D277" s="43"/>
      <c r="E277" s="43"/>
      <c r="F277" s="43"/>
      <c r="G277" s="43"/>
    </row>
    <row r="278" spans="1:7" x14ac:dyDescent="0.2">
      <c r="A278" s="44"/>
      <c r="B278" s="44"/>
      <c r="C278" s="44"/>
      <c r="D278" s="44"/>
      <c r="E278" s="44"/>
      <c r="F278" s="44"/>
      <c r="G278" s="44"/>
    </row>
    <row r="279" spans="1:7" x14ac:dyDescent="0.2">
      <c r="A279" s="43"/>
      <c r="B279" s="43"/>
      <c r="C279" s="43"/>
      <c r="D279" s="43"/>
      <c r="E279" s="43"/>
      <c r="F279" s="43"/>
      <c r="G279" s="43"/>
    </row>
    <row r="280" spans="1:7" x14ac:dyDescent="0.2">
      <c r="A280" s="44"/>
      <c r="B280" s="44"/>
      <c r="C280" s="44"/>
      <c r="D280" s="44"/>
      <c r="E280" s="44"/>
      <c r="F280" s="44"/>
      <c r="G280" s="44"/>
    </row>
    <row r="281" spans="1:7" x14ac:dyDescent="0.2">
      <c r="A281" s="43"/>
      <c r="B281" s="43"/>
      <c r="C281" s="43"/>
      <c r="D281" s="43"/>
      <c r="E281" s="43"/>
      <c r="F281" s="43"/>
      <c r="G281" s="43"/>
    </row>
    <row r="282" spans="1:7" x14ac:dyDescent="0.2">
      <c r="A282" s="44"/>
      <c r="B282" s="44"/>
      <c r="C282" s="44"/>
      <c r="D282" s="44"/>
      <c r="E282" s="44"/>
      <c r="F282" s="44"/>
      <c r="G282" s="44"/>
    </row>
    <row r="283" spans="1:7" x14ac:dyDescent="0.2">
      <c r="A283" s="43"/>
      <c r="B283" s="43"/>
      <c r="C283" s="43"/>
      <c r="D283" s="43"/>
      <c r="E283" s="43"/>
      <c r="F283" s="43"/>
      <c r="G283" s="43"/>
    </row>
    <row r="284" spans="1:7" x14ac:dyDescent="0.2">
      <c r="A284" s="44"/>
      <c r="B284" s="44"/>
      <c r="C284" s="44"/>
      <c r="D284" s="44"/>
      <c r="E284" s="44"/>
      <c r="F284" s="44"/>
      <c r="G284" s="44"/>
    </row>
    <row r="285" spans="1:7" x14ac:dyDescent="0.2">
      <c r="A285" s="43"/>
      <c r="B285" s="43"/>
      <c r="C285" s="43"/>
      <c r="D285" s="43"/>
      <c r="E285" s="43"/>
      <c r="F285" s="43"/>
      <c r="G285" s="43"/>
    </row>
    <row r="286" spans="1:7" x14ac:dyDescent="0.2">
      <c r="A286" s="44"/>
      <c r="B286" s="44"/>
      <c r="C286" s="44"/>
      <c r="D286" s="44"/>
      <c r="E286" s="44"/>
      <c r="F286" s="44"/>
      <c r="G286" s="44"/>
    </row>
    <row r="287" spans="1:7" x14ac:dyDescent="0.2">
      <c r="A287" s="43"/>
      <c r="B287" s="43"/>
      <c r="C287" s="43"/>
      <c r="D287" s="43"/>
      <c r="E287" s="43"/>
      <c r="F287" s="43"/>
      <c r="G287" s="43"/>
    </row>
    <row r="288" spans="1:7" x14ac:dyDescent="0.2">
      <c r="A288" s="44"/>
      <c r="B288" s="44"/>
      <c r="C288" s="44"/>
      <c r="D288" s="44"/>
      <c r="E288" s="44"/>
      <c r="F288" s="44"/>
      <c r="G288" s="44"/>
    </row>
    <row r="289" spans="1:7" x14ac:dyDescent="0.2">
      <c r="A289" s="43"/>
      <c r="B289" s="43"/>
      <c r="C289" s="43"/>
      <c r="D289" s="43"/>
      <c r="E289" s="43"/>
      <c r="F289" s="43"/>
      <c r="G289" s="43"/>
    </row>
    <row r="290" spans="1:7" x14ac:dyDescent="0.2">
      <c r="A290" s="44"/>
      <c r="B290" s="44"/>
      <c r="C290" s="44"/>
      <c r="D290" s="44"/>
      <c r="E290" s="44"/>
      <c r="F290" s="44"/>
      <c r="G290" s="44"/>
    </row>
    <row r="291" spans="1:7" x14ac:dyDescent="0.2">
      <c r="A291" s="43"/>
      <c r="B291" s="43"/>
      <c r="C291" s="43"/>
      <c r="D291" s="43"/>
      <c r="E291" s="43"/>
      <c r="F291" s="43"/>
      <c r="G291" s="43"/>
    </row>
    <row r="292" spans="1:7" x14ac:dyDescent="0.2">
      <c r="A292" s="44"/>
      <c r="B292" s="44"/>
      <c r="C292" s="44"/>
      <c r="D292" s="44"/>
      <c r="E292" s="44"/>
      <c r="F292" s="44"/>
      <c r="G292" s="44"/>
    </row>
    <row r="293" spans="1:7" x14ac:dyDescent="0.2">
      <c r="A293" s="43"/>
      <c r="B293" s="43"/>
      <c r="C293" s="43"/>
      <c r="D293" s="43"/>
      <c r="E293" s="43"/>
      <c r="F293" s="43"/>
      <c r="G293" s="43"/>
    </row>
    <row r="294" spans="1:7" x14ac:dyDescent="0.2">
      <c r="A294" s="44"/>
      <c r="B294" s="44"/>
      <c r="C294" s="44"/>
      <c r="D294" s="44"/>
      <c r="E294" s="44"/>
      <c r="F294" s="44"/>
      <c r="G294" s="44"/>
    </row>
    <row r="295" spans="1:7" x14ac:dyDescent="0.2">
      <c r="A295" s="43"/>
      <c r="B295" s="43"/>
      <c r="C295" s="43"/>
      <c r="D295" s="43"/>
      <c r="E295" s="43"/>
      <c r="F295" s="43"/>
      <c r="G295" s="43"/>
    </row>
    <row r="296" spans="1:7" x14ac:dyDescent="0.2">
      <c r="A296" s="44"/>
      <c r="B296" s="44"/>
      <c r="C296" s="44"/>
      <c r="D296" s="44"/>
      <c r="E296" s="44"/>
      <c r="F296" s="44"/>
      <c r="G296" s="44"/>
    </row>
    <row r="297" spans="1:7" x14ac:dyDescent="0.2">
      <c r="A297" s="43"/>
      <c r="B297" s="43"/>
      <c r="C297" s="43"/>
      <c r="D297" s="43"/>
      <c r="E297" s="43"/>
      <c r="F297" s="43"/>
      <c r="G297" s="43"/>
    </row>
    <row r="298" spans="1:7" x14ac:dyDescent="0.2">
      <c r="A298" s="44"/>
      <c r="B298" s="44"/>
      <c r="C298" s="44"/>
      <c r="D298" s="44"/>
      <c r="E298" s="44"/>
      <c r="F298" s="44"/>
      <c r="G298" s="44"/>
    </row>
    <row r="299" spans="1:7" x14ac:dyDescent="0.2">
      <c r="A299" s="43"/>
      <c r="B299" s="43"/>
      <c r="C299" s="43"/>
      <c r="D299" s="43"/>
      <c r="E299" s="43"/>
      <c r="F299" s="43"/>
      <c r="G299" s="43"/>
    </row>
    <row r="300" spans="1:7" x14ac:dyDescent="0.2">
      <c r="A300" s="44"/>
      <c r="B300" s="44"/>
      <c r="C300" s="44"/>
      <c r="D300" s="44"/>
      <c r="E300" s="44"/>
      <c r="F300" s="44"/>
      <c r="G300" s="44"/>
    </row>
    <row r="301" spans="1:7" x14ac:dyDescent="0.2">
      <c r="A301" s="43"/>
      <c r="B301" s="43"/>
      <c r="C301" s="43"/>
      <c r="D301" s="43"/>
      <c r="E301" s="43"/>
      <c r="F301" s="43"/>
      <c r="G301" s="43"/>
    </row>
    <row r="302" spans="1:7" x14ac:dyDescent="0.2">
      <c r="A302" s="44"/>
      <c r="B302" s="44"/>
      <c r="C302" s="44"/>
      <c r="D302" s="44"/>
      <c r="E302" s="44"/>
      <c r="F302" s="44"/>
      <c r="G302" s="44"/>
    </row>
    <row r="303" spans="1:7" x14ac:dyDescent="0.2">
      <c r="A303" s="43"/>
      <c r="B303" s="43"/>
      <c r="C303" s="43"/>
      <c r="D303" s="43"/>
      <c r="E303" s="43"/>
      <c r="F303" s="43"/>
      <c r="G303" s="43"/>
    </row>
    <row r="304" spans="1:7" x14ac:dyDescent="0.2">
      <c r="A304" s="44"/>
      <c r="B304" s="44"/>
      <c r="C304" s="44"/>
      <c r="D304" s="44"/>
      <c r="E304" s="44"/>
      <c r="F304" s="44"/>
      <c r="G304" s="44"/>
    </row>
    <row r="305" spans="1:7" x14ac:dyDescent="0.2">
      <c r="A305" s="43"/>
      <c r="B305" s="43"/>
      <c r="C305" s="43"/>
      <c r="D305" s="43"/>
      <c r="E305" s="43"/>
      <c r="F305" s="43"/>
      <c r="G305" s="43"/>
    </row>
    <row r="306" spans="1:7" x14ac:dyDescent="0.2">
      <c r="A306" s="44"/>
      <c r="B306" s="44"/>
      <c r="C306" s="44"/>
      <c r="D306" s="44"/>
      <c r="E306" s="44"/>
      <c r="F306" s="44"/>
      <c r="G306" s="44"/>
    </row>
    <row r="307" spans="1:7" x14ac:dyDescent="0.2">
      <c r="A307" s="43"/>
      <c r="B307" s="43"/>
      <c r="C307" s="43"/>
      <c r="D307" s="43"/>
      <c r="E307" s="43"/>
      <c r="F307" s="43"/>
      <c r="G307" s="43"/>
    </row>
    <row r="308" spans="1:7" x14ac:dyDescent="0.2">
      <c r="A308" s="44"/>
      <c r="B308" s="44"/>
      <c r="C308" s="44"/>
      <c r="D308" s="44"/>
      <c r="E308" s="44"/>
      <c r="F308" s="44"/>
      <c r="G308" s="44"/>
    </row>
    <row r="309" spans="1:7" x14ac:dyDescent="0.2">
      <c r="A309" s="43"/>
      <c r="B309" s="43"/>
      <c r="C309" s="43"/>
      <c r="D309" s="43"/>
      <c r="E309" s="43"/>
      <c r="F309" s="43"/>
      <c r="G309" s="43"/>
    </row>
    <row r="310" spans="1:7" x14ac:dyDescent="0.2">
      <c r="A310" s="44"/>
      <c r="B310" s="44"/>
      <c r="C310" s="44"/>
      <c r="D310" s="44"/>
      <c r="E310" s="44"/>
      <c r="F310" s="44"/>
      <c r="G310" s="44"/>
    </row>
    <row r="311" spans="1:7" x14ac:dyDescent="0.2">
      <c r="A311" s="43"/>
      <c r="B311" s="43"/>
      <c r="C311" s="43"/>
      <c r="D311" s="43"/>
      <c r="E311" s="43"/>
      <c r="F311" s="43"/>
      <c r="G311" s="43"/>
    </row>
    <row r="312" spans="1:7" x14ac:dyDescent="0.2">
      <c r="A312" s="44"/>
      <c r="B312" s="44"/>
      <c r="C312" s="44"/>
      <c r="D312" s="44"/>
      <c r="E312" s="44"/>
      <c r="F312" s="44"/>
      <c r="G312" s="44"/>
    </row>
    <row r="313" spans="1:7" x14ac:dyDescent="0.2">
      <c r="A313" s="43"/>
      <c r="B313" s="43"/>
      <c r="C313" s="43"/>
      <c r="D313" s="43"/>
      <c r="E313" s="43"/>
      <c r="F313" s="43"/>
      <c r="G313" s="43"/>
    </row>
    <row r="314" spans="1:7" x14ac:dyDescent="0.2">
      <c r="A314" s="44"/>
      <c r="B314" s="44"/>
      <c r="C314" s="44"/>
      <c r="D314" s="44"/>
      <c r="E314" s="44"/>
      <c r="F314" s="44"/>
      <c r="G314" s="44"/>
    </row>
    <row r="315" spans="1:7" x14ac:dyDescent="0.2">
      <c r="A315" s="43"/>
      <c r="B315" s="43"/>
      <c r="C315" s="43"/>
      <c r="D315" s="43"/>
      <c r="E315" s="43"/>
      <c r="F315" s="43"/>
      <c r="G315" s="43"/>
    </row>
    <row r="316" spans="1:7" x14ac:dyDescent="0.2">
      <c r="A316" s="44"/>
      <c r="B316" s="44"/>
      <c r="C316" s="44"/>
      <c r="D316" s="44"/>
      <c r="E316" s="44"/>
      <c r="F316" s="44"/>
      <c r="G316" s="44"/>
    </row>
    <row r="317" spans="1:7" x14ac:dyDescent="0.2">
      <c r="A317" s="43"/>
      <c r="B317" s="43"/>
      <c r="C317" s="43"/>
      <c r="D317" s="43"/>
      <c r="E317" s="43"/>
      <c r="F317" s="43"/>
      <c r="G317" s="43"/>
    </row>
    <row r="318" spans="1:7" x14ac:dyDescent="0.2">
      <c r="A318" s="44"/>
      <c r="B318" s="44"/>
      <c r="C318" s="44"/>
      <c r="D318" s="44"/>
      <c r="E318" s="44"/>
      <c r="F318" s="44"/>
      <c r="G318" s="44"/>
    </row>
    <row r="319" spans="1:7" x14ac:dyDescent="0.2">
      <c r="A319" s="43"/>
      <c r="B319" s="43"/>
      <c r="C319" s="43"/>
      <c r="D319" s="43"/>
      <c r="E319" s="43"/>
      <c r="F319" s="43"/>
      <c r="G319" s="43"/>
    </row>
    <row r="320" spans="1:7" x14ac:dyDescent="0.2">
      <c r="A320" s="44"/>
      <c r="B320" s="44"/>
      <c r="C320" s="44"/>
      <c r="D320" s="44"/>
      <c r="E320" s="44"/>
      <c r="F320" s="44"/>
      <c r="G320" s="44"/>
    </row>
    <row r="321" spans="1:7" x14ac:dyDescent="0.2">
      <c r="A321" s="43"/>
      <c r="B321" s="43"/>
      <c r="C321" s="43"/>
      <c r="D321" s="43"/>
      <c r="E321" s="43"/>
      <c r="F321" s="43"/>
      <c r="G321" s="43"/>
    </row>
    <row r="322" spans="1:7" x14ac:dyDescent="0.2">
      <c r="A322" s="44"/>
      <c r="B322" s="44"/>
      <c r="C322" s="44"/>
      <c r="D322" s="44"/>
      <c r="E322" s="44"/>
      <c r="F322" s="44"/>
      <c r="G322" s="44"/>
    </row>
    <row r="323" spans="1:7" x14ac:dyDescent="0.2">
      <c r="A323" s="43"/>
      <c r="B323" s="43"/>
      <c r="C323" s="43"/>
      <c r="D323" s="43"/>
      <c r="E323" s="43"/>
      <c r="F323" s="43"/>
      <c r="G323" s="43"/>
    </row>
    <row r="324" spans="1:7" x14ac:dyDescent="0.2">
      <c r="A324" s="44"/>
      <c r="B324" s="44"/>
      <c r="C324" s="44"/>
      <c r="D324" s="44"/>
      <c r="E324" s="44"/>
      <c r="F324" s="44"/>
      <c r="G324" s="44"/>
    </row>
    <row r="325" spans="1:7" x14ac:dyDescent="0.2">
      <c r="A325" s="43"/>
      <c r="B325" s="43"/>
      <c r="C325" s="43"/>
      <c r="D325" s="43"/>
      <c r="E325" s="43"/>
      <c r="F325" s="43"/>
      <c r="G325" s="43"/>
    </row>
    <row r="326" spans="1:7" x14ac:dyDescent="0.2">
      <c r="A326" s="44"/>
      <c r="B326" s="44"/>
      <c r="C326" s="44"/>
      <c r="D326" s="44"/>
      <c r="E326" s="44"/>
      <c r="F326" s="44"/>
      <c r="G326" s="44"/>
    </row>
    <row r="327" spans="1:7" x14ac:dyDescent="0.2">
      <c r="A327" s="43"/>
      <c r="B327" s="43"/>
      <c r="C327" s="43"/>
      <c r="D327" s="43"/>
      <c r="E327" s="43"/>
      <c r="F327" s="43"/>
      <c r="G327" s="43"/>
    </row>
    <row r="328" spans="1:7" x14ac:dyDescent="0.2">
      <c r="A328" s="44"/>
      <c r="B328" s="44"/>
      <c r="C328" s="44"/>
      <c r="D328" s="44"/>
      <c r="E328" s="44"/>
      <c r="F328" s="44"/>
      <c r="G328" s="44"/>
    </row>
    <row r="329" spans="1:7" x14ac:dyDescent="0.2">
      <c r="A329" s="43"/>
      <c r="B329" s="43"/>
      <c r="C329" s="43"/>
      <c r="D329" s="43"/>
      <c r="E329" s="43"/>
      <c r="F329" s="43"/>
      <c r="G329" s="43"/>
    </row>
    <row r="330" spans="1:7" x14ac:dyDescent="0.2">
      <c r="A330" s="44"/>
      <c r="B330" s="44"/>
      <c r="C330" s="44"/>
      <c r="D330" s="44"/>
      <c r="E330" s="44"/>
      <c r="F330" s="44"/>
      <c r="G330" s="44"/>
    </row>
    <row r="331" spans="1:7" x14ac:dyDescent="0.2">
      <c r="A331" s="43"/>
      <c r="B331" s="43"/>
      <c r="C331" s="43"/>
      <c r="D331" s="43"/>
      <c r="E331" s="43"/>
      <c r="F331" s="43"/>
      <c r="G331" s="43"/>
    </row>
    <row r="332" spans="1:7" x14ac:dyDescent="0.2">
      <c r="A332" s="44"/>
      <c r="B332" s="44"/>
      <c r="C332" s="44"/>
      <c r="D332" s="44"/>
      <c r="E332" s="44"/>
      <c r="F332" s="44"/>
      <c r="G332" s="44"/>
    </row>
    <row r="333" spans="1:7" x14ac:dyDescent="0.2">
      <c r="A333" s="43"/>
      <c r="B333" s="43"/>
      <c r="C333" s="43"/>
      <c r="D333" s="43"/>
      <c r="E333" s="43"/>
      <c r="F333" s="43"/>
      <c r="G333" s="43"/>
    </row>
    <row r="334" spans="1:7" x14ac:dyDescent="0.2">
      <c r="A334" s="44"/>
      <c r="B334" s="44"/>
      <c r="C334" s="44"/>
      <c r="D334" s="44"/>
      <c r="E334" s="44"/>
      <c r="F334" s="44"/>
      <c r="G334" s="44"/>
    </row>
    <row r="335" spans="1:7" x14ac:dyDescent="0.2">
      <c r="A335" s="43"/>
      <c r="B335" s="43"/>
      <c r="C335" s="43"/>
      <c r="D335" s="43"/>
      <c r="E335" s="43"/>
      <c r="F335" s="43"/>
      <c r="G335" s="43"/>
    </row>
    <row r="336" spans="1:7" x14ac:dyDescent="0.2">
      <c r="A336" s="44"/>
      <c r="B336" s="44"/>
      <c r="C336" s="44"/>
      <c r="D336" s="44"/>
      <c r="E336" s="44"/>
      <c r="F336" s="44"/>
      <c r="G336" s="44"/>
    </row>
    <row r="337" spans="1:7" x14ac:dyDescent="0.2">
      <c r="A337" s="43"/>
      <c r="B337" s="43"/>
      <c r="C337" s="43"/>
      <c r="D337" s="43"/>
      <c r="E337" s="43"/>
      <c r="F337" s="43"/>
      <c r="G337" s="43"/>
    </row>
    <row r="338" spans="1:7" x14ac:dyDescent="0.2">
      <c r="A338" s="44"/>
      <c r="B338" s="44"/>
      <c r="C338" s="44"/>
      <c r="D338" s="44"/>
      <c r="E338" s="44"/>
      <c r="F338" s="44"/>
      <c r="G338" s="44"/>
    </row>
    <row r="339" spans="1:7" x14ac:dyDescent="0.2">
      <c r="A339" s="43"/>
      <c r="B339" s="43"/>
      <c r="C339" s="43"/>
      <c r="D339" s="43"/>
      <c r="E339" s="43"/>
      <c r="F339" s="43"/>
      <c r="G339" s="43"/>
    </row>
    <row r="340" spans="1:7" x14ac:dyDescent="0.2">
      <c r="A340" s="44"/>
      <c r="B340" s="44"/>
      <c r="C340" s="44"/>
      <c r="D340" s="44"/>
      <c r="E340" s="44"/>
      <c r="F340" s="44"/>
      <c r="G340" s="44"/>
    </row>
    <row r="341" spans="1:7" x14ac:dyDescent="0.2">
      <c r="A341" s="43"/>
      <c r="B341" s="43"/>
      <c r="C341" s="43"/>
      <c r="D341" s="43"/>
      <c r="E341" s="43"/>
      <c r="F341" s="43"/>
      <c r="G341" s="43"/>
    </row>
    <row r="342" spans="1:7" x14ac:dyDescent="0.2">
      <c r="A342" s="44"/>
      <c r="B342" s="44"/>
      <c r="C342" s="44"/>
      <c r="D342" s="44"/>
      <c r="E342" s="44"/>
      <c r="F342" s="44"/>
      <c r="G342" s="44"/>
    </row>
    <row r="343" spans="1:7" x14ac:dyDescent="0.2">
      <c r="A343" s="43"/>
      <c r="B343" s="43"/>
      <c r="C343" s="43"/>
      <c r="D343" s="43"/>
      <c r="E343" s="43"/>
      <c r="F343" s="43"/>
      <c r="G343" s="43"/>
    </row>
    <row r="344" spans="1:7" x14ac:dyDescent="0.2">
      <c r="A344" s="44"/>
      <c r="B344" s="44"/>
      <c r="C344" s="44"/>
      <c r="D344" s="44"/>
      <c r="E344" s="44"/>
      <c r="F344" s="44"/>
      <c r="G344" s="44"/>
    </row>
    <row r="345" spans="1:7" x14ac:dyDescent="0.2">
      <c r="A345" s="43"/>
      <c r="B345" s="43"/>
      <c r="C345" s="43"/>
      <c r="D345" s="43"/>
      <c r="E345" s="43"/>
      <c r="F345" s="43"/>
      <c r="G345" s="43"/>
    </row>
    <row r="346" spans="1:7" x14ac:dyDescent="0.2">
      <c r="A346" s="44"/>
      <c r="B346" s="44"/>
      <c r="C346" s="44"/>
      <c r="D346" s="44"/>
      <c r="E346" s="44"/>
      <c r="F346" s="44"/>
      <c r="G346" s="44"/>
    </row>
    <row r="347" spans="1:7" x14ac:dyDescent="0.2">
      <c r="A347" s="43"/>
      <c r="B347" s="43"/>
      <c r="C347" s="43"/>
      <c r="D347" s="43"/>
      <c r="E347" s="43"/>
      <c r="F347" s="43"/>
      <c r="G347" s="43"/>
    </row>
    <row r="348" spans="1:7" x14ac:dyDescent="0.2">
      <c r="A348" s="44"/>
      <c r="B348" s="44"/>
      <c r="C348" s="44"/>
      <c r="D348" s="44"/>
      <c r="E348" s="44"/>
      <c r="F348" s="44"/>
      <c r="G348" s="44"/>
    </row>
    <row r="349" spans="1:7" x14ac:dyDescent="0.2">
      <c r="A349" s="43"/>
      <c r="B349" s="43"/>
      <c r="C349" s="43"/>
      <c r="D349" s="43"/>
      <c r="E349" s="43"/>
      <c r="F349" s="43"/>
      <c r="G349" s="43"/>
    </row>
    <row r="350" spans="1:7" x14ac:dyDescent="0.2">
      <c r="A350" s="44"/>
      <c r="B350" s="44"/>
      <c r="C350" s="44"/>
      <c r="D350" s="44"/>
      <c r="E350" s="44"/>
      <c r="F350" s="44"/>
      <c r="G350" s="44"/>
    </row>
    <row r="351" spans="1:7" x14ac:dyDescent="0.2">
      <c r="A351" s="43"/>
      <c r="B351" s="43"/>
      <c r="C351" s="43"/>
      <c r="D351" s="43"/>
      <c r="E351" s="43"/>
      <c r="F351" s="43"/>
      <c r="G351" s="43"/>
    </row>
    <row r="352" spans="1:7" x14ac:dyDescent="0.2">
      <c r="A352" s="44"/>
      <c r="B352" s="44"/>
      <c r="C352" s="44"/>
      <c r="D352" s="44"/>
      <c r="E352" s="44"/>
      <c r="F352" s="44"/>
      <c r="G352" s="44"/>
    </row>
    <row r="353" spans="1:7" x14ac:dyDescent="0.2">
      <c r="A353" s="43"/>
      <c r="B353" s="43"/>
      <c r="C353" s="43"/>
      <c r="D353" s="43"/>
      <c r="E353" s="43"/>
      <c r="F353" s="43"/>
      <c r="G353" s="43"/>
    </row>
    <row r="354" spans="1:7" x14ac:dyDescent="0.2">
      <c r="A354" s="44"/>
      <c r="B354" s="44"/>
      <c r="C354" s="44"/>
      <c r="D354" s="44"/>
      <c r="E354" s="44"/>
      <c r="F354" s="44"/>
      <c r="G354" s="44"/>
    </row>
    <row r="355" spans="1:7" x14ac:dyDescent="0.2">
      <c r="A355" s="43"/>
      <c r="B355" s="43"/>
      <c r="C355" s="43"/>
      <c r="D355" s="43"/>
      <c r="E355" s="43"/>
      <c r="F355" s="43"/>
      <c r="G355" s="43"/>
    </row>
    <row r="356" spans="1:7" x14ac:dyDescent="0.2">
      <c r="A356" s="44"/>
      <c r="B356" s="44"/>
      <c r="C356" s="44"/>
      <c r="D356" s="44"/>
      <c r="E356" s="44"/>
      <c r="F356" s="44"/>
      <c r="G356" s="44"/>
    </row>
    <row r="357" spans="1:7" x14ac:dyDescent="0.2">
      <c r="A357" s="43"/>
      <c r="B357" s="43"/>
      <c r="C357" s="43"/>
      <c r="D357" s="43"/>
      <c r="E357" s="43"/>
      <c r="F357" s="43"/>
      <c r="G357" s="43"/>
    </row>
    <row r="358" spans="1:7" x14ac:dyDescent="0.2">
      <c r="A358" s="44"/>
      <c r="B358" s="44"/>
      <c r="C358" s="44"/>
      <c r="D358" s="44"/>
      <c r="E358" s="44"/>
      <c r="F358" s="44"/>
      <c r="G358" s="44"/>
    </row>
    <row r="359" spans="1:7" x14ac:dyDescent="0.2">
      <c r="A359" s="43"/>
      <c r="B359" s="43"/>
      <c r="C359" s="43"/>
      <c r="D359" s="43"/>
      <c r="E359" s="43"/>
      <c r="F359" s="43"/>
      <c r="G359" s="43"/>
    </row>
    <row r="360" spans="1:7" x14ac:dyDescent="0.2">
      <c r="A360" s="44"/>
      <c r="B360" s="44"/>
      <c r="C360" s="44"/>
      <c r="D360" s="44"/>
      <c r="E360" s="44"/>
      <c r="F360" s="44"/>
      <c r="G360" s="44"/>
    </row>
    <row r="361" spans="1:7" x14ac:dyDescent="0.2">
      <c r="A361" s="43"/>
      <c r="B361" s="43"/>
      <c r="C361" s="43"/>
      <c r="D361" s="43"/>
      <c r="E361" s="43"/>
      <c r="F361" s="43"/>
      <c r="G361" s="43"/>
    </row>
    <row r="362" spans="1:7" x14ac:dyDescent="0.2">
      <c r="A362" s="44"/>
      <c r="B362" s="44"/>
      <c r="C362" s="44"/>
      <c r="D362" s="44"/>
      <c r="E362" s="44"/>
      <c r="F362" s="44"/>
      <c r="G362" s="44"/>
    </row>
    <row r="363" spans="1:7" x14ac:dyDescent="0.2">
      <c r="A363" s="43"/>
      <c r="B363" s="43"/>
      <c r="C363" s="43"/>
      <c r="D363" s="43"/>
      <c r="E363" s="43"/>
      <c r="F363" s="43"/>
      <c r="G363" s="43"/>
    </row>
    <row r="364" spans="1:7" x14ac:dyDescent="0.2">
      <c r="A364" s="44"/>
      <c r="B364" s="44"/>
      <c r="C364" s="44"/>
      <c r="D364" s="44"/>
      <c r="E364" s="44"/>
      <c r="F364" s="44"/>
      <c r="G364" s="44"/>
    </row>
    <row r="365" spans="1:7" x14ac:dyDescent="0.2">
      <c r="A365" s="43"/>
      <c r="B365" s="43"/>
      <c r="C365" s="43"/>
      <c r="D365" s="43"/>
      <c r="E365" s="43"/>
      <c r="F365" s="43"/>
      <c r="G365" s="43"/>
    </row>
    <row r="366" spans="1:7" x14ac:dyDescent="0.2">
      <c r="A366" s="44"/>
      <c r="B366" s="44"/>
      <c r="C366" s="44"/>
      <c r="D366" s="44"/>
      <c r="E366" s="44"/>
      <c r="F366" s="44"/>
      <c r="G366" s="44"/>
    </row>
    <row r="367" spans="1:7" x14ac:dyDescent="0.2">
      <c r="A367" s="43"/>
      <c r="B367" s="43"/>
      <c r="C367" s="43"/>
      <c r="D367" s="43"/>
      <c r="E367" s="43"/>
      <c r="F367" s="43"/>
      <c r="G367" s="43"/>
    </row>
    <row r="368" spans="1:7" x14ac:dyDescent="0.2">
      <c r="A368" s="44"/>
      <c r="B368" s="44"/>
      <c r="C368" s="44"/>
      <c r="D368" s="44"/>
      <c r="E368" s="44"/>
      <c r="F368" s="44"/>
      <c r="G368" s="44"/>
    </row>
    <row r="369" spans="1:7" x14ac:dyDescent="0.2">
      <c r="A369" s="43"/>
      <c r="B369" s="43"/>
      <c r="C369" s="43"/>
      <c r="D369" s="43"/>
      <c r="E369" s="43"/>
      <c r="F369" s="43"/>
      <c r="G369" s="43"/>
    </row>
    <row r="370" spans="1:7" x14ac:dyDescent="0.2">
      <c r="A370" s="44"/>
      <c r="B370" s="44"/>
      <c r="C370" s="44"/>
      <c r="D370" s="44"/>
      <c r="E370" s="44"/>
      <c r="F370" s="44"/>
      <c r="G370" s="44"/>
    </row>
    <row r="371" spans="1:7" x14ac:dyDescent="0.2">
      <c r="A371" s="43"/>
      <c r="B371" s="43"/>
      <c r="C371" s="43"/>
      <c r="D371" s="43"/>
      <c r="E371" s="43"/>
      <c r="F371" s="43"/>
      <c r="G371" s="43"/>
    </row>
    <row r="372" spans="1:7" x14ac:dyDescent="0.2">
      <c r="A372" s="44"/>
      <c r="B372" s="44"/>
      <c r="C372" s="44"/>
      <c r="D372" s="44"/>
      <c r="E372" s="44"/>
      <c r="F372" s="44"/>
      <c r="G372" s="44"/>
    </row>
    <row r="373" spans="1:7" x14ac:dyDescent="0.2">
      <c r="A373" s="43"/>
      <c r="B373" s="43"/>
      <c r="C373" s="43"/>
      <c r="D373" s="43"/>
      <c r="E373" s="43"/>
      <c r="F373" s="43"/>
      <c r="G373" s="43"/>
    </row>
    <row r="374" spans="1:7" x14ac:dyDescent="0.2">
      <c r="A374" s="44"/>
      <c r="B374" s="44"/>
      <c r="C374" s="44"/>
      <c r="D374" s="44"/>
      <c r="E374" s="44"/>
      <c r="F374" s="44"/>
      <c r="G374" s="44"/>
    </row>
    <row r="375" spans="1:7" x14ac:dyDescent="0.2">
      <c r="A375" s="43"/>
      <c r="B375" s="43"/>
      <c r="C375" s="43"/>
      <c r="D375" s="43"/>
      <c r="E375" s="43"/>
      <c r="F375" s="43"/>
      <c r="G375" s="43"/>
    </row>
    <row r="376" spans="1:7" x14ac:dyDescent="0.2">
      <c r="A376" s="44"/>
      <c r="B376" s="44"/>
      <c r="C376" s="44"/>
      <c r="D376" s="44"/>
      <c r="E376" s="44"/>
      <c r="F376" s="44"/>
      <c r="G376" s="44"/>
    </row>
    <row r="377" spans="1:7" x14ac:dyDescent="0.2">
      <c r="A377" s="43"/>
      <c r="B377" s="43"/>
      <c r="C377" s="43"/>
      <c r="D377" s="43"/>
      <c r="E377" s="43"/>
      <c r="F377" s="43"/>
      <c r="G377" s="43"/>
    </row>
    <row r="378" spans="1:7" x14ac:dyDescent="0.2">
      <c r="A378" s="44"/>
      <c r="B378" s="44"/>
      <c r="C378" s="44"/>
      <c r="D378" s="44"/>
      <c r="E378" s="44"/>
      <c r="F378" s="44"/>
      <c r="G378" s="44"/>
    </row>
    <row r="379" spans="1:7" x14ac:dyDescent="0.2">
      <c r="A379" s="43"/>
      <c r="B379" s="43"/>
      <c r="C379" s="43"/>
      <c r="D379" s="43"/>
      <c r="E379" s="43"/>
      <c r="F379" s="43"/>
      <c r="G379" s="43"/>
    </row>
    <row r="380" spans="1:7" x14ac:dyDescent="0.2">
      <c r="A380" s="44"/>
      <c r="B380" s="44"/>
      <c r="C380" s="44"/>
      <c r="D380" s="44"/>
      <c r="E380" s="44"/>
      <c r="F380" s="44"/>
      <c r="G380" s="44"/>
    </row>
    <row r="381" spans="1:7" x14ac:dyDescent="0.2">
      <c r="A381" s="43"/>
      <c r="B381" s="43"/>
      <c r="C381" s="43"/>
      <c r="D381" s="43"/>
      <c r="E381" s="43"/>
      <c r="F381" s="43"/>
      <c r="G381" s="43"/>
    </row>
    <row r="382" spans="1:7" x14ac:dyDescent="0.2">
      <c r="A382" s="44"/>
      <c r="B382" s="44"/>
      <c r="C382" s="44"/>
      <c r="D382" s="44"/>
      <c r="E382" s="44"/>
      <c r="F382" s="44"/>
      <c r="G382" s="44"/>
    </row>
    <row r="383" spans="1:7" x14ac:dyDescent="0.2">
      <c r="A383" s="43"/>
      <c r="B383" s="43"/>
      <c r="C383" s="43"/>
      <c r="D383" s="43"/>
      <c r="E383" s="43"/>
      <c r="F383" s="43"/>
      <c r="G383" s="43"/>
    </row>
    <row r="384" spans="1:7" x14ac:dyDescent="0.2">
      <c r="A384" s="44"/>
      <c r="B384" s="44"/>
      <c r="C384" s="44"/>
      <c r="D384" s="44"/>
      <c r="E384" s="44"/>
      <c r="F384" s="44"/>
      <c r="G384" s="44"/>
    </row>
    <row r="385" spans="1:7" x14ac:dyDescent="0.2">
      <c r="A385" s="43"/>
      <c r="B385" s="43"/>
      <c r="C385" s="43"/>
      <c r="D385" s="43"/>
      <c r="E385" s="43"/>
      <c r="F385" s="43"/>
      <c r="G385" s="43"/>
    </row>
    <row r="386" spans="1:7" x14ac:dyDescent="0.2">
      <c r="A386" s="44"/>
      <c r="B386" s="44"/>
      <c r="C386" s="44"/>
      <c r="D386" s="44"/>
      <c r="E386" s="44"/>
      <c r="F386" s="44"/>
      <c r="G386" s="44"/>
    </row>
    <row r="387" spans="1:7" x14ac:dyDescent="0.2">
      <c r="A387" s="43"/>
      <c r="B387" s="43"/>
      <c r="C387" s="43"/>
      <c r="D387" s="43"/>
      <c r="E387" s="43"/>
      <c r="F387" s="43"/>
      <c r="G387" s="43"/>
    </row>
    <row r="388" spans="1:7" x14ac:dyDescent="0.2">
      <c r="A388" s="44"/>
      <c r="B388" s="44"/>
      <c r="C388" s="44"/>
      <c r="D388" s="44"/>
      <c r="E388" s="44"/>
      <c r="F388" s="44"/>
      <c r="G388" s="44"/>
    </row>
    <row r="389" spans="1:7" x14ac:dyDescent="0.2">
      <c r="A389" s="43"/>
      <c r="B389" s="43"/>
      <c r="C389" s="43"/>
      <c r="D389" s="43"/>
      <c r="E389" s="43"/>
      <c r="F389" s="43"/>
      <c r="G389" s="43"/>
    </row>
    <row r="390" spans="1:7" x14ac:dyDescent="0.2">
      <c r="A390" s="44"/>
      <c r="B390" s="44"/>
      <c r="C390" s="44"/>
      <c r="D390" s="44"/>
      <c r="E390" s="44"/>
      <c r="F390" s="44"/>
      <c r="G390" s="44"/>
    </row>
    <row r="391" spans="1:7" x14ac:dyDescent="0.2">
      <c r="A391" s="43"/>
      <c r="B391" s="43"/>
      <c r="C391" s="43"/>
      <c r="D391" s="43"/>
      <c r="E391" s="43"/>
      <c r="F391" s="43"/>
      <c r="G391" s="43"/>
    </row>
    <row r="392" spans="1:7" x14ac:dyDescent="0.2">
      <c r="A392" s="44"/>
      <c r="B392" s="44"/>
      <c r="C392" s="44"/>
      <c r="D392" s="44"/>
      <c r="E392" s="44"/>
      <c r="F392" s="44"/>
      <c r="G392" s="44"/>
    </row>
    <row r="393" spans="1:7" x14ac:dyDescent="0.2">
      <c r="A393" s="43"/>
      <c r="B393" s="43"/>
      <c r="C393" s="43"/>
      <c r="D393" s="43"/>
      <c r="E393" s="43"/>
      <c r="F393" s="43"/>
      <c r="G393" s="43"/>
    </row>
    <row r="394" spans="1:7" x14ac:dyDescent="0.2">
      <c r="A394" s="44"/>
      <c r="B394" s="44"/>
      <c r="C394" s="44"/>
      <c r="D394" s="44"/>
      <c r="E394" s="44"/>
      <c r="F394" s="44"/>
      <c r="G394" s="44"/>
    </row>
    <row r="395" spans="1:7" x14ac:dyDescent="0.2">
      <c r="A395" s="43"/>
      <c r="B395" s="43"/>
      <c r="C395" s="43"/>
      <c r="D395" s="43"/>
      <c r="E395" s="43"/>
      <c r="F395" s="43"/>
      <c r="G395" s="43"/>
    </row>
    <row r="396" spans="1:7" x14ac:dyDescent="0.2">
      <c r="A396" s="44"/>
      <c r="B396" s="44"/>
      <c r="C396" s="44"/>
      <c r="D396" s="44"/>
      <c r="E396" s="44"/>
      <c r="F396" s="44"/>
      <c r="G396" s="44"/>
    </row>
    <row r="397" spans="1:7" x14ac:dyDescent="0.2">
      <c r="A397" s="43"/>
      <c r="B397" s="43"/>
      <c r="C397" s="43"/>
      <c r="D397" s="43"/>
      <c r="E397" s="43"/>
      <c r="F397" s="43"/>
      <c r="G397" s="43"/>
    </row>
    <row r="398" spans="1:7" x14ac:dyDescent="0.2">
      <c r="A398" s="44"/>
      <c r="B398" s="44"/>
      <c r="C398" s="44"/>
      <c r="D398" s="44"/>
      <c r="E398" s="44"/>
      <c r="F398" s="44"/>
      <c r="G398" s="44"/>
    </row>
    <row r="399" spans="1:7" x14ac:dyDescent="0.2">
      <c r="A399" s="43"/>
      <c r="B399" s="43"/>
      <c r="C399" s="43"/>
      <c r="D399" s="43"/>
      <c r="E399" s="43"/>
      <c r="F399" s="43"/>
      <c r="G399" s="43"/>
    </row>
    <row r="400" spans="1:7" x14ac:dyDescent="0.2">
      <c r="A400" s="44"/>
      <c r="B400" s="44"/>
      <c r="C400" s="44"/>
      <c r="D400" s="44"/>
      <c r="E400" s="44"/>
      <c r="F400" s="44"/>
      <c r="G400" s="44"/>
    </row>
    <row r="401" spans="1:7" x14ac:dyDescent="0.2">
      <c r="A401" s="43"/>
      <c r="B401" s="43"/>
      <c r="C401" s="43"/>
      <c r="D401" s="43"/>
      <c r="E401" s="43"/>
      <c r="F401" s="43"/>
      <c r="G401" s="43"/>
    </row>
    <row r="402" spans="1:7" x14ac:dyDescent="0.2">
      <c r="A402" s="44"/>
      <c r="B402" s="44"/>
      <c r="C402" s="44"/>
      <c r="D402" s="44"/>
      <c r="E402" s="44"/>
      <c r="F402" s="44"/>
      <c r="G402" s="44"/>
    </row>
    <row r="403" spans="1:7" x14ac:dyDescent="0.2">
      <c r="A403" s="43"/>
      <c r="B403" s="43"/>
      <c r="C403" s="43"/>
      <c r="D403" s="43"/>
      <c r="E403" s="43"/>
      <c r="F403" s="43"/>
      <c r="G403" s="43"/>
    </row>
    <row r="404" spans="1:7" x14ac:dyDescent="0.2">
      <c r="A404" s="44"/>
      <c r="B404" s="44"/>
      <c r="C404" s="44"/>
      <c r="D404" s="44"/>
      <c r="E404" s="44"/>
      <c r="F404" s="44"/>
      <c r="G404" s="44"/>
    </row>
    <row r="405" spans="1:7" x14ac:dyDescent="0.2">
      <c r="A405" s="43"/>
      <c r="B405" s="43"/>
      <c r="C405" s="43"/>
      <c r="D405" s="43"/>
      <c r="E405" s="43"/>
      <c r="F405" s="43"/>
      <c r="G405" s="43"/>
    </row>
    <row r="406" spans="1:7" x14ac:dyDescent="0.2">
      <c r="A406" s="44"/>
      <c r="B406" s="44"/>
      <c r="C406" s="44"/>
      <c r="D406" s="44"/>
      <c r="E406" s="44"/>
      <c r="F406" s="44"/>
      <c r="G406" s="44"/>
    </row>
    <row r="407" spans="1:7" x14ac:dyDescent="0.2">
      <c r="A407" s="43"/>
      <c r="B407" s="43"/>
      <c r="C407" s="43"/>
      <c r="D407" s="43"/>
      <c r="E407" s="43"/>
      <c r="F407" s="43"/>
      <c r="G407" s="43"/>
    </row>
    <row r="408" spans="1:7" x14ac:dyDescent="0.2">
      <c r="A408" s="44"/>
      <c r="B408" s="44"/>
      <c r="C408" s="44"/>
      <c r="D408" s="44"/>
      <c r="E408" s="44"/>
      <c r="F408" s="44"/>
      <c r="G408" s="44"/>
    </row>
    <row r="409" spans="1:7" x14ac:dyDescent="0.2">
      <c r="A409" s="43"/>
      <c r="B409" s="43"/>
      <c r="C409" s="43"/>
      <c r="D409" s="43"/>
      <c r="E409" s="43"/>
      <c r="F409" s="43"/>
      <c r="G409" s="43"/>
    </row>
    <row r="410" spans="1:7" x14ac:dyDescent="0.2">
      <c r="A410" s="44"/>
      <c r="B410" s="44"/>
      <c r="C410" s="44"/>
      <c r="D410" s="44"/>
      <c r="E410" s="44"/>
      <c r="F410" s="44"/>
      <c r="G410" s="44"/>
    </row>
    <row r="411" spans="1:7" x14ac:dyDescent="0.2">
      <c r="A411" s="43"/>
      <c r="B411" s="43"/>
      <c r="C411" s="43"/>
      <c r="D411" s="43"/>
      <c r="E411" s="43"/>
      <c r="F411" s="43"/>
      <c r="G411" s="43"/>
    </row>
    <row r="412" spans="1:7" x14ac:dyDescent="0.2">
      <c r="A412" s="44"/>
      <c r="B412" s="44"/>
      <c r="C412" s="44"/>
      <c r="D412" s="44"/>
      <c r="E412" s="44"/>
      <c r="F412" s="44"/>
      <c r="G412" s="44"/>
    </row>
    <row r="413" spans="1:7" x14ac:dyDescent="0.2">
      <c r="A413" s="43"/>
      <c r="B413" s="43"/>
      <c r="C413" s="43"/>
      <c r="D413" s="43"/>
      <c r="E413" s="43"/>
      <c r="F413" s="43"/>
      <c r="G413" s="43"/>
    </row>
    <row r="414" spans="1:7" x14ac:dyDescent="0.2">
      <c r="A414" s="44"/>
      <c r="B414" s="44"/>
      <c r="C414" s="44"/>
      <c r="D414" s="44"/>
      <c r="E414" s="44"/>
      <c r="F414" s="44"/>
      <c r="G414" s="44"/>
    </row>
    <row r="415" spans="1:7" x14ac:dyDescent="0.2">
      <c r="A415" s="43"/>
      <c r="B415" s="43"/>
      <c r="C415" s="43"/>
      <c r="D415" s="43"/>
      <c r="E415" s="43"/>
      <c r="F415" s="43"/>
      <c r="G415" s="43"/>
    </row>
    <row r="416" spans="1:7" x14ac:dyDescent="0.2">
      <c r="A416" s="44"/>
      <c r="B416" s="44"/>
      <c r="C416" s="44"/>
      <c r="D416" s="44"/>
      <c r="E416" s="44"/>
      <c r="F416" s="44"/>
      <c r="G416" s="44"/>
    </row>
    <row r="417" spans="1:7" x14ac:dyDescent="0.2">
      <c r="A417" s="43"/>
      <c r="B417" s="43"/>
      <c r="C417" s="43"/>
      <c r="D417" s="43"/>
      <c r="E417" s="43"/>
      <c r="F417" s="43"/>
      <c r="G417" s="43"/>
    </row>
    <row r="418" spans="1:7" x14ac:dyDescent="0.2">
      <c r="A418" s="44"/>
      <c r="B418" s="44"/>
      <c r="C418" s="44"/>
      <c r="D418" s="44"/>
      <c r="E418" s="44"/>
      <c r="F418" s="44"/>
      <c r="G418" s="44"/>
    </row>
    <row r="419" spans="1:7" x14ac:dyDescent="0.2">
      <c r="A419" s="43"/>
      <c r="B419" s="43"/>
      <c r="C419" s="43"/>
      <c r="D419" s="43"/>
      <c r="E419" s="43"/>
      <c r="F419" s="43"/>
      <c r="G419" s="43"/>
    </row>
    <row r="420" spans="1:7" x14ac:dyDescent="0.2">
      <c r="A420" s="44"/>
      <c r="B420" s="44"/>
      <c r="C420" s="44"/>
      <c r="D420" s="44"/>
      <c r="E420" s="44"/>
      <c r="F420" s="44"/>
      <c r="G420" s="44"/>
    </row>
    <row r="421" spans="1:7" x14ac:dyDescent="0.2">
      <c r="A421" s="43"/>
      <c r="B421" s="43"/>
      <c r="C421" s="43"/>
      <c r="D421" s="43"/>
      <c r="E421" s="43"/>
      <c r="F421" s="43"/>
      <c r="G421" s="43"/>
    </row>
    <row r="422" spans="1:7" x14ac:dyDescent="0.2">
      <c r="A422" s="44"/>
      <c r="B422" s="44"/>
      <c r="C422" s="44"/>
      <c r="D422" s="44"/>
      <c r="E422" s="44"/>
      <c r="F422" s="44"/>
      <c r="G422" s="44"/>
    </row>
    <row r="423" spans="1:7" x14ac:dyDescent="0.2">
      <c r="A423" s="43"/>
      <c r="B423" s="43"/>
      <c r="C423" s="43"/>
      <c r="D423" s="43"/>
      <c r="E423" s="43"/>
      <c r="F423" s="43"/>
      <c r="G423" s="43"/>
    </row>
    <row r="424" spans="1:7" x14ac:dyDescent="0.2">
      <c r="A424" s="44"/>
      <c r="B424" s="44"/>
      <c r="C424" s="44"/>
      <c r="D424" s="44"/>
      <c r="E424" s="44"/>
      <c r="F424" s="44"/>
      <c r="G424" s="44"/>
    </row>
    <row r="425" spans="1:7" x14ac:dyDescent="0.2">
      <c r="A425" s="43"/>
      <c r="B425" s="43"/>
      <c r="C425" s="43"/>
      <c r="D425" s="43"/>
      <c r="E425" s="43"/>
      <c r="F425" s="43"/>
      <c r="G425" s="43"/>
    </row>
    <row r="426" spans="1:7" x14ac:dyDescent="0.2">
      <c r="A426" s="44"/>
      <c r="B426" s="44"/>
      <c r="C426" s="44"/>
      <c r="D426" s="44"/>
      <c r="E426" s="44"/>
      <c r="F426" s="44"/>
      <c r="G426" s="44"/>
    </row>
    <row r="427" spans="1:7" x14ac:dyDescent="0.2">
      <c r="A427" s="43"/>
      <c r="B427" s="43"/>
      <c r="C427" s="43"/>
      <c r="D427" s="43"/>
      <c r="E427" s="43"/>
      <c r="F427" s="43"/>
      <c r="G427" s="43"/>
    </row>
    <row r="428" spans="1:7" x14ac:dyDescent="0.2">
      <c r="A428" s="44"/>
      <c r="B428" s="44"/>
      <c r="C428" s="44"/>
      <c r="D428" s="44"/>
      <c r="E428" s="44"/>
      <c r="F428" s="44"/>
      <c r="G428" s="44"/>
    </row>
    <row r="429" spans="1:7" x14ac:dyDescent="0.2">
      <c r="A429" s="43"/>
      <c r="B429" s="43"/>
      <c r="C429" s="43"/>
      <c r="D429" s="43"/>
      <c r="E429" s="43"/>
      <c r="F429" s="43"/>
      <c r="G429" s="43"/>
    </row>
    <row r="430" spans="1:7" x14ac:dyDescent="0.2">
      <c r="A430" s="44"/>
      <c r="B430" s="44"/>
      <c r="C430" s="44"/>
      <c r="D430" s="44"/>
      <c r="E430" s="44"/>
      <c r="F430" s="44"/>
      <c r="G430" s="44"/>
    </row>
    <row r="431" spans="1:7" x14ac:dyDescent="0.2">
      <c r="A431" s="43"/>
      <c r="B431" s="43"/>
      <c r="C431" s="43"/>
      <c r="D431" s="43"/>
      <c r="E431" s="43"/>
      <c r="F431" s="43"/>
      <c r="G431" s="43"/>
    </row>
    <row r="432" spans="1:7" x14ac:dyDescent="0.2">
      <c r="A432" s="44"/>
      <c r="B432" s="44"/>
      <c r="C432" s="44"/>
      <c r="D432" s="44"/>
      <c r="E432" s="44"/>
      <c r="F432" s="44"/>
      <c r="G432" s="44"/>
    </row>
    <row r="433" spans="1:7" x14ac:dyDescent="0.2">
      <c r="A433" s="43"/>
      <c r="B433" s="43"/>
      <c r="C433" s="43"/>
      <c r="D433" s="43"/>
      <c r="E433" s="43"/>
      <c r="F433" s="43"/>
      <c r="G433" s="43"/>
    </row>
    <row r="434" spans="1:7" x14ac:dyDescent="0.2">
      <c r="A434" s="44"/>
      <c r="B434" s="44"/>
      <c r="C434" s="44"/>
      <c r="D434" s="44"/>
      <c r="E434" s="44"/>
      <c r="F434" s="44"/>
      <c r="G434" s="44"/>
    </row>
    <row r="435" spans="1:7" x14ac:dyDescent="0.2">
      <c r="A435" s="43"/>
      <c r="B435" s="43"/>
      <c r="C435" s="43"/>
      <c r="D435" s="43"/>
      <c r="E435" s="43"/>
      <c r="F435" s="43"/>
      <c r="G435" s="43"/>
    </row>
    <row r="436" spans="1:7" x14ac:dyDescent="0.2">
      <c r="A436" s="44"/>
      <c r="B436" s="44"/>
      <c r="C436" s="44"/>
      <c r="D436" s="44"/>
      <c r="E436" s="44"/>
      <c r="F436" s="44"/>
      <c r="G436" s="44"/>
    </row>
    <row r="437" spans="1:7" x14ac:dyDescent="0.2">
      <c r="A437" s="43"/>
      <c r="B437" s="43"/>
      <c r="C437" s="43"/>
      <c r="D437" s="43"/>
      <c r="E437" s="43"/>
      <c r="F437" s="43"/>
      <c r="G437" s="43"/>
    </row>
    <row r="438" spans="1:7" x14ac:dyDescent="0.2">
      <c r="A438" s="44"/>
      <c r="B438" s="44"/>
      <c r="C438" s="44"/>
      <c r="D438" s="44"/>
      <c r="E438" s="44"/>
      <c r="F438" s="44"/>
      <c r="G438" s="44"/>
    </row>
    <row r="439" spans="1:7" x14ac:dyDescent="0.2">
      <c r="A439" s="43"/>
      <c r="B439" s="43"/>
      <c r="C439" s="43"/>
      <c r="D439" s="43"/>
      <c r="E439" s="43"/>
      <c r="F439" s="43"/>
      <c r="G439" s="43"/>
    </row>
    <row r="440" spans="1:7" x14ac:dyDescent="0.2">
      <c r="A440" s="44"/>
      <c r="B440" s="44"/>
      <c r="C440" s="44"/>
      <c r="D440" s="44"/>
      <c r="E440" s="44"/>
      <c r="F440" s="44"/>
      <c r="G440" s="44"/>
    </row>
    <row r="441" spans="1:7" x14ac:dyDescent="0.2">
      <c r="A441" s="43"/>
      <c r="B441" s="43"/>
      <c r="C441" s="43"/>
      <c r="D441" s="43"/>
      <c r="E441" s="43"/>
      <c r="F441" s="43"/>
      <c r="G441" s="43"/>
    </row>
    <row r="442" spans="1:7" x14ac:dyDescent="0.2">
      <c r="A442" s="44"/>
      <c r="B442" s="44"/>
      <c r="C442" s="44"/>
      <c r="D442" s="44"/>
      <c r="E442" s="44"/>
      <c r="F442" s="44"/>
      <c r="G442" s="44"/>
    </row>
    <row r="443" spans="1:7" x14ac:dyDescent="0.2">
      <c r="A443" s="43"/>
      <c r="B443" s="43"/>
      <c r="C443" s="43"/>
      <c r="D443" s="43"/>
      <c r="E443" s="43"/>
      <c r="F443" s="43"/>
      <c r="G443" s="43"/>
    </row>
    <row r="444" spans="1:7" x14ac:dyDescent="0.2">
      <c r="A444" s="44"/>
      <c r="B444" s="44"/>
      <c r="C444" s="44"/>
      <c r="D444" s="44"/>
      <c r="E444" s="44"/>
      <c r="F444" s="44"/>
      <c r="G444" s="44"/>
    </row>
    <row r="445" spans="1:7" x14ac:dyDescent="0.2">
      <c r="A445" s="43"/>
      <c r="B445" s="43"/>
      <c r="C445" s="43"/>
      <c r="D445" s="43"/>
      <c r="E445" s="43"/>
      <c r="F445" s="43"/>
      <c r="G445" s="43"/>
    </row>
    <row r="446" spans="1:7" x14ac:dyDescent="0.2">
      <c r="A446" s="44"/>
      <c r="B446" s="44"/>
      <c r="C446" s="44"/>
      <c r="D446" s="44"/>
      <c r="E446" s="44"/>
      <c r="F446" s="44"/>
      <c r="G446" s="44"/>
    </row>
    <row r="447" spans="1:7" x14ac:dyDescent="0.2">
      <c r="A447" s="43"/>
      <c r="B447" s="43"/>
      <c r="C447" s="43"/>
      <c r="D447" s="43"/>
      <c r="E447" s="43"/>
      <c r="F447" s="43"/>
      <c r="G447" s="43"/>
    </row>
    <row r="448" spans="1:7" x14ac:dyDescent="0.2">
      <c r="A448" s="44"/>
      <c r="B448" s="44"/>
      <c r="C448" s="44"/>
      <c r="D448" s="44"/>
      <c r="E448" s="44"/>
      <c r="F448" s="44"/>
      <c r="G448" s="44"/>
    </row>
    <row r="449" spans="1:7" x14ac:dyDescent="0.2">
      <c r="A449" s="43"/>
      <c r="B449" s="43"/>
      <c r="C449" s="43"/>
      <c r="D449" s="43"/>
      <c r="E449" s="43"/>
      <c r="F449" s="43"/>
      <c r="G449" s="43"/>
    </row>
    <row r="450" spans="1:7" x14ac:dyDescent="0.2">
      <c r="A450" s="44"/>
      <c r="B450" s="44"/>
      <c r="C450" s="44"/>
      <c r="D450" s="44"/>
      <c r="E450" s="44"/>
      <c r="F450" s="44"/>
      <c r="G450" s="44"/>
    </row>
    <row r="451" spans="1:7" x14ac:dyDescent="0.2">
      <c r="A451" s="43"/>
      <c r="B451" s="43"/>
      <c r="C451" s="43"/>
      <c r="D451" s="43"/>
      <c r="E451" s="43"/>
      <c r="F451" s="43"/>
      <c r="G451" s="43"/>
    </row>
    <row r="452" spans="1:7" x14ac:dyDescent="0.2">
      <c r="A452" s="44"/>
      <c r="B452" s="44"/>
      <c r="C452" s="44"/>
      <c r="D452" s="44"/>
      <c r="E452" s="44"/>
      <c r="F452" s="44"/>
      <c r="G452" s="44"/>
    </row>
    <row r="453" spans="1:7" x14ac:dyDescent="0.2">
      <c r="A453" s="43"/>
      <c r="B453" s="43"/>
      <c r="C453" s="43"/>
      <c r="D453" s="43"/>
      <c r="E453" s="43"/>
      <c r="F453" s="43"/>
      <c r="G453" s="43"/>
    </row>
    <row r="454" spans="1:7" x14ac:dyDescent="0.2">
      <c r="A454" s="44"/>
      <c r="B454" s="44"/>
      <c r="C454" s="44"/>
      <c r="D454" s="44"/>
      <c r="E454" s="44"/>
      <c r="F454" s="44"/>
      <c r="G454" s="44"/>
    </row>
    <row r="455" spans="1:7" x14ac:dyDescent="0.2">
      <c r="A455" s="43"/>
      <c r="B455" s="43"/>
      <c r="C455" s="43"/>
      <c r="D455" s="43"/>
      <c r="E455" s="43"/>
      <c r="F455" s="43"/>
      <c r="G455" s="43"/>
    </row>
    <row r="456" spans="1:7" x14ac:dyDescent="0.2">
      <c r="A456" s="44"/>
      <c r="B456" s="44"/>
      <c r="C456" s="44"/>
      <c r="D456" s="44"/>
      <c r="E456" s="44"/>
      <c r="F456" s="44"/>
      <c r="G456" s="44"/>
    </row>
    <row r="457" spans="1:7" x14ac:dyDescent="0.2">
      <c r="A457" s="43"/>
      <c r="B457" s="43"/>
      <c r="C457" s="43"/>
      <c r="D457" s="43"/>
      <c r="E457" s="43"/>
      <c r="F457" s="43"/>
      <c r="G457" s="43"/>
    </row>
    <row r="458" spans="1:7" x14ac:dyDescent="0.2">
      <c r="A458" s="44"/>
      <c r="B458" s="44"/>
      <c r="C458" s="44"/>
      <c r="D458" s="44"/>
      <c r="E458" s="44"/>
      <c r="F458" s="44"/>
      <c r="G458" s="44"/>
    </row>
    <row r="459" spans="1:7" x14ac:dyDescent="0.2">
      <c r="A459" s="43"/>
      <c r="B459" s="43"/>
      <c r="C459" s="43"/>
      <c r="D459" s="43"/>
      <c r="E459" s="43"/>
      <c r="F459" s="43"/>
      <c r="G459" s="43"/>
    </row>
    <row r="460" spans="1:7" x14ac:dyDescent="0.2">
      <c r="A460" s="44"/>
      <c r="B460" s="44"/>
      <c r="C460" s="44"/>
      <c r="D460" s="44"/>
      <c r="E460" s="44"/>
      <c r="F460" s="44"/>
      <c r="G460" s="44"/>
    </row>
    <row r="461" spans="1:7" x14ac:dyDescent="0.2">
      <c r="A461" s="43"/>
      <c r="B461" s="43"/>
      <c r="C461" s="43"/>
      <c r="D461" s="43"/>
      <c r="E461" s="43"/>
      <c r="F461" s="43"/>
      <c r="G461" s="43"/>
    </row>
    <row r="462" spans="1:7" x14ac:dyDescent="0.2">
      <c r="A462" s="44"/>
      <c r="B462" s="44"/>
      <c r="C462" s="44"/>
      <c r="D462" s="44"/>
      <c r="E462" s="44"/>
      <c r="F462" s="44"/>
      <c r="G462" s="44"/>
    </row>
    <row r="463" spans="1:7" x14ac:dyDescent="0.2">
      <c r="A463" s="43"/>
      <c r="B463" s="43"/>
      <c r="C463" s="43"/>
      <c r="D463" s="43"/>
      <c r="E463" s="43"/>
      <c r="F463" s="43"/>
      <c r="G463" s="43"/>
    </row>
    <row r="464" spans="1:7" x14ac:dyDescent="0.2">
      <c r="A464" s="44"/>
      <c r="B464" s="44"/>
      <c r="C464" s="44"/>
      <c r="D464" s="44"/>
      <c r="E464" s="44"/>
      <c r="F464" s="44"/>
      <c r="G464" s="44"/>
    </row>
    <row r="465" spans="1:7" x14ac:dyDescent="0.2">
      <c r="A465" s="43"/>
      <c r="B465" s="43"/>
      <c r="C465" s="43"/>
      <c r="D465" s="43"/>
      <c r="E465" s="43"/>
      <c r="F465" s="43"/>
      <c r="G465" s="43"/>
    </row>
    <row r="466" spans="1:7" x14ac:dyDescent="0.2">
      <c r="A466" s="44"/>
      <c r="B466" s="44"/>
      <c r="C466" s="44"/>
      <c r="D466" s="44"/>
      <c r="E466" s="44"/>
      <c r="F466" s="44"/>
      <c r="G466" s="44"/>
    </row>
    <row r="467" spans="1:7" x14ac:dyDescent="0.2">
      <c r="A467" s="43"/>
      <c r="B467" s="43"/>
      <c r="C467" s="43"/>
      <c r="D467" s="43"/>
      <c r="E467" s="43"/>
      <c r="F467" s="43"/>
      <c r="G467" s="43"/>
    </row>
    <row r="468" spans="1:7" x14ac:dyDescent="0.2">
      <c r="A468" s="44"/>
      <c r="B468" s="44"/>
      <c r="C468" s="44"/>
      <c r="D468" s="44"/>
      <c r="E468" s="44"/>
      <c r="F468" s="44"/>
      <c r="G468" s="44"/>
    </row>
    <row r="469" spans="1:7" x14ac:dyDescent="0.2">
      <c r="A469" s="43"/>
      <c r="B469" s="43"/>
      <c r="C469" s="43"/>
      <c r="D469" s="43"/>
      <c r="E469" s="43"/>
      <c r="F469" s="43"/>
      <c r="G469" s="43"/>
    </row>
    <row r="470" spans="1:7" x14ac:dyDescent="0.2">
      <c r="A470" s="44"/>
      <c r="B470" s="44"/>
      <c r="C470" s="44"/>
      <c r="D470" s="44"/>
      <c r="E470" s="44"/>
      <c r="F470" s="44"/>
      <c r="G470" s="44"/>
    </row>
    <row r="471" spans="1:7" x14ac:dyDescent="0.2">
      <c r="A471" s="43"/>
      <c r="B471" s="43"/>
      <c r="C471" s="43"/>
      <c r="D471" s="43"/>
      <c r="E471" s="43"/>
      <c r="F471" s="43"/>
      <c r="G471" s="43"/>
    </row>
    <row r="472" spans="1:7" x14ac:dyDescent="0.2">
      <c r="A472" s="44"/>
      <c r="B472" s="44"/>
      <c r="C472" s="44"/>
      <c r="D472" s="44"/>
      <c r="E472" s="44"/>
      <c r="F472" s="44"/>
      <c r="G472" s="44"/>
    </row>
    <row r="473" spans="1:7" x14ac:dyDescent="0.2">
      <c r="A473" s="43"/>
      <c r="B473" s="43"/>
      <c r="C473" s="43"/>
      <c r="D473" s="43"/>
      <c r="E473" s="43"/>
      <c r="F473" s="43"/>
      <c r="G473" s="43"/>
    </row>
    <row r="474" spans="1:7" x14ac:dyDescent="0.2">
      <c r="A474" s="44"/>
      <c r="B474" s="44"/>
      <c r="C474" s="44"/>
      <c r="D474" s="44"/>
      <c r="E474" s="44"/>
      <c r="F474" s="44"/>
      <c r="G474" s="44"/>
    </row>
    <row r="475" spans="1:7" x14ac:dyDescent="0.2">
      <c r="A475" s="43"/>
      <c r="B475" s="43"/>
      <c r="C475" s="43"/>
      <c r="D475" s="43"/>
      <c r="E475" s="43"/>
      <c r="F475" s="43"/>
      <c r="G475" s="43"/>
    </row>
    <row r="476" spans="1:7" x14ac:dyDescent="0.2">
      <c r="A476" s="44"/>
      <c r="B476" s="44"/>
      <c r="C476" s="44"/>
      <c r="D476" s="44"/>
      <c r="E476" s="44"/>
      <c r="F476" s="44"/>
      <c r="G476" s="44"/>
    </row>
    <row r="477" spans="1:7" x14ac:dyDescent="0.2">
      <c r="A477" s="43"/>
      <c r="B477" s="43"/>
      <c r="C477" s="43"/>
      <c r="D477" s="43"/>
      <c r="E477" s="43"/>
      <c r="F477" s="43"/>
      <c r="G477" s="43"/>
    </row>
    <row r="478" spans="1:7" x14ac:dyDescent="0.2">
      <c r="A478" s="44"/>
      <c r="B478" s="44"/>
      <c r="C478" s="44"/>
      <c r="D478" s="44"/>
      <c r="E478" s="44"/>
      <c r="F478" s="44"/>
      <c r="G478" s="44"/>
    </row>
    <row r="479" spans="1:7" x14ac:dyDescent="0.2">
      <c r="A479" s="43"/>
      <c r="B479" s="43"/>
      <c r="C479" s="43"/>
      <c r="D479" s="43"/>
      <c r="E479" s="43"/>
      <c r="F479" s="43"/>
      <c r="G479" s="43"/>
    </row>
    <row r="480" spans="1:7" x14ac:dyDescent="0.2">
      <c r="A480" s="44"/>
      <c r="B480" s="44"/>
      <c r="C480" s="44"/>
      <c r="D480" s="44"/>
      <c r="E480" s="44"/>
      <c r="F480" s="44"/>
      <c r="G480" s="44"/>
    </row>
    <row r="481" spans="1:7" x14ac:dyDescent="0.2">
      <c r="A481" s="43"/>
      <c r="B481" s="43"/>
      <c r="C481" s="43"/>
      <c r="D481" s="43"/>
      <c r="E481" s="43"/>
      <c r="F481" s="43"/>
      <c r="G481" s="43"/>
    </row>
    <row r="482" spans="1:7" x14ac:dyDescent="0.2">
      <c r="A482" s="44"/>
      <c r="B482" s="44"/>
      <c r="C482" s="44"/>
      <c r="D482" s="44"/>
      <c r="E482" s="44"/>
      <c r="F482" s="44"/>
      <c r="G482" s="44"/>
    </row>
    <row r="483" spans="1:7" x14ac:dyDescent="0.2">
      <c r="A483" s="43"/>
      <c r="B483" s="43"/>
      <c r="C483" s="43"/>
      <c r="D483" s="43"/>
      <c r="E483" s="43"/>
      <c r="F483" s="43"/>
      <c r="G483" s="43"/>
    </row>
    <row r="484" spans="1:7" x14ac:dyDescent="0.2">
      <c r="A484" s="44"/>
      <c r="B484" s="44"/>
      <c r="C484" s="44"/>
      <c r="D484" s="44"/>
      <c r="E484" s="44"/>
      <c r="F484" s="44"/>
      <c r="G484" s="44"/>
    </row>
    <row r="485" spans="1:7" x14ac:dyDescent="0.2">
      <c r="A485" s="43"/>
      <c r="B485" s="43"/>
      <c r="C485" s="43"/>
      <c r="D485" s="43"/>
      <c r="E485" s="43"/>
      <c r="F485" s="43"/>
      <c r="G485" s="43"/>
    </row>
    <row r="486" spans="1:7" x14ac:dyDescent="0.2">
      <c r="A486" s="44"/>
      <c r="B486" s="44"/>
      <c r="C486" s="44"/>
      <c r="D486" s="44"/>
      <c r="E486" s="44"/>
      <c r="F486" s="44"/>
      <c r="G486" s="44"/>
    </row>
    <row r="487" spans="1:7" x14ac:dyDescent="0.2">
      <c r="A487" s="43"/>
      <c r="B487" s="43"/>
      <c r="C487" s="43"/>
      <c r="D487" s="43"/>
      <c r="E487" s="43"/>
      <c r="F487" s="43"/>
      <c r="G487" s="43"/>
    </row>
    <row r="488" spans="1:7" x14ac:dyDescent="0.2">
      <c r="A488" s="44"/>
      <c r="B488" s="44"/>
      <c r="C488" s="44"/>
      <c r="D488" s="44"/>
      <c r="E488" s="44"/>
      <c r="F488" s="44"/>
      <c r="G488" s="44"/>
    </row>
    <row r="489" spans="1:7" x14ac:dyDescent="0.2">
      <c r="A489" s="43"/>
      <c r="B489" s="43"/>
      <c r="C489" s="43"/>
      <c r="D489" s="43"/>
      <c r="E489" s="43"/>
      <c r="F489" s="43"/>
      <c r="G489" s="43"/>
    </row>
    <row r="490" spans="1:7" x14ac:dyDescent="0.2">
      <c r="A490" s="44"/>
      <c r="B490" s="44"/>
      <c r="C490" s="44"/>
      <c r="D490" s="44"/>
      <c r="E490" s="44"/>
      <c r="F490" s="44"/>
      <c r="G490" s="44"/>
    </row>
    <row r="491" spans="1:7" x14ac:dyDescent="0.2">
      <c r="A491" s="43"/>
      <c r="B491" s="43"/>
      <c r="C491" s="43"/>
      <c r="D491" s="43"/>
      <c r="E491" s="43"/>
      <c r="F491" s="43"/>
      <c r="G491" s="43"/>
    </row>
    <row r="492" spans="1:7" x14ac:dyDescent="0.2">
      <c r="A492" s="44"/>
      <c r="B492" s="44"/>
      <c r="C492" s="44"/>
      <c r="D492" s="44"/>
      <c r="E492" s="44"/>
      <c r="F492" s="44"/>
      <c r="G492" s="44"/>
    </row>
    <row r="493" spans="1:7" x14ac:dyDescent="0.2">
      <c r="A493" s="43"/>
      <c r="B493" s="43"/>
      <c r="C493" s="43"/>
      <c r="D493" s="43"/>
      <c r="E493" s="43"/>
      <c r="F493" s="43"/>
      <c r="G493" s="43"/>
    </row>
    <row r="494" spans="1:7" x14ac:dyDescent="0.2">
      <c r="A494" s="44"/>
      <c r="B494" s="44"/>
      <c r="C494" s="44"/>
      <c r="D494" s="44"/>
      <c r="E494" s="44"/>
      <c r="F494" s="44"/>
      <c r="G494" s="44"/>
    </row>
    <row r="495" spans="1:7" x14ac:dyDescent="0.2">
      <c r="A495" s="43"/>
      <c r="B495" s="43"/>
      <c r="C495" s="43"/>
      <c r="D495" s="43"/>
      <c r="E495" s="43"/>
      <c r="F495" s="43"/>
      <c r="G495" s="43"/>
    </row>
    <row r="496" spans="1:7" x14ac:dyDescent="0.2">
      <c r="A496" s="44"/>
      <c r="B496" s="44"/>
      <c r="C496" s="44"/>
      <c r="D496" s="44"/>
      <c r="E496" s="44"/>
      <c r="F496" s="44"/>
      <c r="G496" s="44"/>
    </row>
    <row r="497" spans="1:7" x14ac:dyDescent="0.2">
      <c r="A497" s="43"/>
      <c r="B497" s="43"/>
      <c r="C497" s="43"/>
      <c r="D497" s="43"/>
      <c r="E497" s="43"/>
      <c r="F497" s="43"/>
      <c r="G497" s="43"/>
    </row>
    <row r="498" spans="1:7" x14ac:dyDescent="0.2">
      <c r="A498" s="44"/>
      <c r="B498" s="44"/>
      <c r="C498" s="44"/>
      <c r="D498" s="44"/>
      <c r="E498" s="44"/>
      <c r="F498" s="44"/>
      <c r="G498" s="44"/>
    </row>
    <row r="499" spans="1:7" x14ac:dyDescent="0.2">
      <c r="A499" s="43"/>
      <c r="B499" s="43"/>
      <c r="C499" s="43"/>
      <c r="D499" s="43"/>
      <c r="E499" s="43"/>
      <c r="F499" s="43"/>
      <c r="G499" s="43"/>
    </row>
    <row r="500" spans="1:7" x14ac:dyDescent="0.2">
      <c r="A500" s="44"/>
      <c r="B500" s="44"/>
      <c r="C500" s="44"/>
      <c r="D500" s="44"/>
      <c r="E500" s="44"/>
      <c r="F500" s="44"/>
      <c r="G500" s="44"/>
    </row>
    <row r="501" spans="1:7" x14ac:dyDescent="0.2">
      <c r="A501" s="43"/>
      <c r="B501" s="43"/>
      <c r="C501" s="43"/>
      <c r="D501" s="43"/>
      <c r="E501" s="43"/>
      <c r="F501" s="43"/>
      <c r="G501" s="43"/>
    </row>
    <row r="502" spans="1:7" x14ac:dyDescent="0.2">
      <c r="A502" s="44"/>
      <c r="B502" s="44"/>
      <c r="C502" s="44"/>
      <c r="D502" s="44"/>
      <c r="E502" s="44"/>
      <c r="F502" s="44"/>
      <c r="G502" s="44"/>
    </row>
    <row r="503" spans="1:7" x14ac:dyDescent="0.2">
      <c r="A503" s="43"/>
      <c r="B503" s="43"/>
      <c r="C503" s="43"/>
      <c r="D503" s="43"/>
      <c r="E503" s="43"/>
      <c r="F503" s="43"/>
      <c r="G503" s="43"/>
    </row>
    <row r="504" spans="1:7" x14ac:dyDescent="0.2">
      <c r="A504" s="44"/>
      <c r="B504" s="44"/>
      <c r="C504" s="44"/>
      <c r="D504" s="44"/>
      <c r="E504" s="44"/>
      <c r="F504" s="44"/>
      <c r="G504" s="44"/>
    </row>
    <row r="505" spans="1:7" x14ac:dyDescent="0.2">
      <c r="A505" s="43"/>
      <c r="B505" s="43"/>
      <c r="C505" s="43"/>
      <c r="D505" s="43"/>
      <c r="E505" s="43"/>
      <c r="F505" s="43"/>
      <c r="G505" s="43"/>
    </row>
    <row r="506" spans="1:7" x14ac:dyDescent="0.2">
      <c r="A506" s="44"/>
      <c r="B506" s="44"/>
      <c r="C506" s="44"/>
      <c r="D506" s="44"/>
      <c r="E506" s="44"/>
      <c r="F506" s="44"/>
      <c r="G506" s="44"/>
    </row>
    <row r="507" spans="1:7" x14ac:dyDescent="0.2">
      <c r="A507" s="43"/>
      <c r="B507" s="43"/>
      <c r="C507" s="43"/>
      <c r="D507" s="43"/>
      <c r="E507" s="43"/>
      <c r="F507" s="43"/>
      <c r="G507" s="43"/>
    </row>
    <row r="508" spans="1:7" x14ac:dyDescent="0.2">
      <c r="A508" s="44"/>
      <c r="B508" s="44"/>
      <c r="C508" s="44"/>
      <c r="D508" s="44"/>
      <c r="E508" s="44"/>
      <c r="F508" s="44"/>
      <c r="G508" s="44"/>
    </row>
    <row r="509" spans="1:7" x14ac:dyDescent="0.2">
      <c r="A509" s="43"/>
      <c r="B509" s="43"/>
      <c r="C509" s="43"/>
      <c r="D509" s="43"/>
      <c r="E509" s="43"/>
      <c r="F509" s="43"/>
      <c r="G509" s="43"/>
    </row>
    <row r="510" spans="1:7" x14ac:dyDescent="0.2">
      <c r="A510" s="44"/>
      <c r="B510" s="44"/>
      <c r="C510" s="44"/>
      <c r="D510" s="44"/>
      <c r="E510" s="44"/>
      <c r="F510" s="44"/>
      <c r="G510" s="44"/>
    </row>
    <row r="511" spans="1:7" x14ac:dyDescent="0.2">
      <c r="A511" s="43"/>
      <c r="B511" s="43"/>
      <c r="C511" s="43"/>
      <c r="D511" s="43"/>
      <c r="E511" s="43"/>
      <c r="F511" s="43"/>
      <c r="G511" s="43"/>
    </row>
    <row r="512" spans="1:7" x14ac:dyDescent="0.2">
      <c r="A512" s="44"/>
      <c r="B512" s="44"/>
      <c r="C512" s="44"/>
      <c r="D512" s="44"/>
      <c r="E512" s="44"/>
      <c r="F512" s="44"/>
      <c r="G512" s="44"/>
    </row>
    <row r="513" spans="1:7" x14ac:dyDescent="0.2">
      <c r="A513" s="43"/>
      <c r="B513" s="43"/>
      <c r="C513" s="43"/>
      <c r="D513" s="43"/>
      <c r="E513" s="43"/>
      <c r="F513" s="43"/>
      <c r="G513" s="43"/>
    </row>
    <row r="514" spans="1:7" x14ac:dyDescent="0.2">
      <c r="A514" s="44"/>
      <c r="B514" s="44"/>
      <c r="C514" s="44"/>
      <c r="D514" s="44"/>
      <c r="E514" s="44"/>
      <c r="F514" s="44"/>
      <c r="G514" s="44"/>
    </row>
    <row r="515" spans="1:7" x14ac:dyDescent="0.2">
      <c r="A515" s="43"/>
      <c r="B515" s="43"/>
      <c r="C515" s="43"/>
      <c r="D515" s="43"/>
      <c r="E515" s="43"/>
      <c r="F515" s="43"/>
      <c r="G515" s="43"/>
    </row>
    <row r="516" spans="1:7" x14ac:dyDescent="0.2">
      <c r="A516" s="44"/>
      <c r="B516" s="44"/>
      <c r="C516" s="44"/>
      <c r="D516" s="44"/>
      <c r="E516" s="44"/>
      <c r="F516" s="44"/>
      <c r="G516" s="44"/>
    </row>
    <row r="517" spans="1:7" x14ac:dyDescent="0.2">
      <c r="A517" s="43"/>
      <c r="B517" s="43"/>
      <c r="C517" s="43"/>
      <c r="D517" s="43"/>
      <c r="E517" s="43"/>
      <c r="F517" s="43"/>
      <c r="G517" s="43"/>
    </row>
    <row r="518" spans="1:7" x14ac:dyDescent="0.2">
      <c r="A518" s="44"/>
      <c r="B518" s="44"/>
      <c r="C518" s="44"/>
      <c r="D518" s="44"/>
      <c r="E518" s="44"/>
      <c r="F518" s="44"/>
      <c r="G518" s="44"/>
    </row>
    <row r="519" spans="1:7" x14ac:dyDescent="0.2">
      <c r="A519" s="43"/>
      <c r="B519" s="43"/>
      <c r="C519" s="43"/>
      <c r="D519" s="43"/>
      <c r="E519" s="43"/>
      <c r="F519" s="43"/>
      <c r="G519" s="43"/>
    </row>
    <row r="520" spans="1:7" x14ac:dyDescent="0.2">
      <c r="A520" s="44"/>
      <c r="B520" s="44"/>
      <c r="C520" s="44"/>
      <c r="D520" s="44"/>
      <c r="E520" s="44"/>
      <c r="F520" s="44"/>
      <c r="G520" s="44"/>
    </row>
    <row r="521" spans="1:7" x14ac:dyDescent="0.2">
      <c r="A521" s="43"/>
      <c r="B521" s="43"/>
      <c r="C521" s="43"/>
      <c r="D521" s="43"/>
      <c r="E521" s="43"/>
      <c r="F521" s="43"/>
      <c r="G521" s="43"/>
    </row>
    <row r="522" spans="1:7" x14ac:dyDescent="0.2">
      <c r="A522" s="44"/>
      <c r="B522" s="44"/>
      <c r="C522" s="44"/>
      <c r="D522" s="44"/>
      <c r="E522" s="44"/>
      <c r="F522" s="44"/>
      <c r="G522" s="44"/>
    </row>
    <row r="523" spans="1:7" x14ac:dyDescent="0.2">
      <c r="A523" s="43"/>
      <c r="B523" s="43"/>
      <c r="C523" s="43"/>
      <c r="D523" s="43"/>
      <c r="E523" s="43"/>
      <c r="F523" s="43"/>
      <c r="G523" s="43"/>
    </row>
    <row r="524" spans="1:7" x14ac:dyDescent="0.2">
      <c r="A524" s="44"/>
      <c r="B524" s="44"/>
      <c r="C524" s="44"/>
      <c r="D524" s="44"/>
      <c r="E524" s="44"/>
      <c r="F524" s="44"/>
      <c r="G524" s="44"/>
    </row>
    <row r="525" spans="1:7" x14ac:dyDescent="0.2">
      <c r="A525" s="43"/>
      <c r="B525" s="43"/>
      <c r="C525" s="43"/>
      <c r="D525" s="43"/>
      <c r="E525" s="43"/>
      <c r="F525" s="43"/>
      <c r="G525" s="43"/>
    </row>
    <row r="526" spans="1:7" x14ac:dyDescent="0.2">
      <c r="A526" s="44"/>
      <c r="B526" s="44"/>
      <c r="C526" s="44"/>
      <c r="D526" s="44"/>
      <c r="E526" s="44"/>
      <c r="F526" s="44"/>
      <c r="G526" s="44"/>
    </row>
    <row r="527" spans="1:7" x14ac:dyDescent="0.2">
      <c r="A527" s="43"/>
      <c r="B527" s="43"/>
      <c r="C527" s="43"/>
      <c r="D527" s="43"/>
      <c r="E527" s="43"/>
      <c r="F527" s="43"/>
      <c r="G527" s="43"/>
    </row>
    <row r="528" spans="1:7" x14ac:dyDescent="0.2">
      <c r="A528" s="44"/>
      <c r="B528" s="44"/>
      <c r="C528" s="44"/>
      <c r="D528" s="44"/>
      <c r="E528" s="44"/>
      <c r="F528" s="44"/>
      <c r="G528" s="44"/>
    </row>
    <row r="529" spans="1:7" x14ac:dyDescent="0.2">
      <c r="A529" s="43"/>
      <c r="B529" s="43"/>
      <c r="C529" s="43"/>
      <c r="D529" s="43"/>
      <c r="E529" s="43"/>
      <c r="F529" s="43"/>
      <c r="G529" s="43"/>
    </row>
    <row r="530" spans="1:7" x14ac:dyDescent="0.2">
      <c r="A530" s="44"/>
      <c r="B530" s="44"/>
      <c r="C530" s="44"/>
      <c r="D530" s="44"/>
      <c r="E530" s="44"/>
      <c r="F530" s="44"/>
      <c r="G530" s="44"/>
    </row>
    <row r="531" spans="1:7" x14ac:dyDescent="0.2">
      <c r="A531" s="43"/>
      <c r="B531" s="43"/>
      <c r="C531" s="43"/>
      <c r="D531" s="43"/>
      <c r="E531" s="43"/>
      <c r="F531" s="43"/>
      <c r="G531" s="43"/>
    </row>
    <row r="532" spans="1:7" x14ac:dyDescent="0.2">
      <c r="A532" s="44"/>
      <c r="B532" s="44"/>
      <c r="C532" s="44"/>
      <c r="D532" s="44"/>
      <c r="E532" s="44"/>
      <c r="F532" s="44"/>
      <c r="G532" s="44"/>
    </row>
    <row r="533" spans="1:7" x14ac:dyDescent="0.2">
      <c r="A533" s="43"/>
      <c r="B533" s="43"/>
      <c r="C533" s="43"/>
      <c r="D533" s="43"/>
      <c r="E533" s="43"/>
      <c r="F533" s="43"/>
      <c r="G533" s="43"/>
    </row>
    <row r="534" spans="1:7" x14ac:dyDescent="0.2">
      <c r="A534" s="44"/>
      <c r="B534" s="44"/>
      <c r="C534" s="44"/>
      <c r="D534" s="44"/>
      <c r="E534" s="44"/>
      <c r="F534" s="44"/>
      <c r="G534" s="44"/>
    </row>
    <row r="535" spans="1:7" x14ac:dyDescent="0.2">
      <c r="A535" s="43"/>
      <c r="B535" s="43"/>
      <c r="C535" s="43"/>
      <c r="D535" s="43"/>
      <c r="E535" s="43"/>
      <c r="F535" s="43"/>
      <c r="G535" s="43"/>
    </row>
    <row r="536" spans="1:7" x14ac:dyDescent="0.2">
      <c r="A536" s="44"/>
      <c r="B536" s="44"/>
      <c r="C536" s="44"/>
      <c r="D536" s="44"/>
      <c r="E536" s="44"/>
      <c r="F536" s="44"/>
      <c r="G536" s="44"/>
    </row>
    <row r="537" spans="1:7" x14ac:dyDescent="0.2">
      <c r="A537" s="43"/>
      <c r="B537" s="43"/>
      <c r="C537" s="43"/>
      <c r="D537" s="43"/>
      <c r="E537" s="43"/>
      <c r="F537" s="43"/>
      <c r="G537" s="43"/>
    </row>
    <row r="538" spans="1:7" x14ac:dyDescent="0.2">
      <c r="A538" s="44"/>
      <c r="B538" s="44"/>
      <c r="C538" s="44"/>
      <c r="D538" s="44"/>
      <c r="E538" s="44"/>
      <c r="F538" s="44"/>
      <c r="G538" s="44"/>
    </row>
    <row r="539" spans="1:7" x14ac:dyDescent="0.2">
      <c r="A539" s="43"/>
      <c r="B539" s="43"/>
      <c r="C539" s="43"/>
      <c r="D539" s="43"/>
      <c r="E539" s="43"/>
      <c r="F539" s="43"/>
      <c r="G539" s="43"/>
    </row>
    <row r="540" spans="1:7" x14ac:dyDescent="0.2">
      <c r="A540" s="44"/>
      <c r="B540" s="44"/>
      <c r="C540" s="44"/>
      <c r="D540" s="44"/>
      <c r="E540" s="44"/>
      <c r="F540" s="44"/>
      <c r="G540" s="44"/>
    </row>
    <row r="541" spans="1:7" x14ac:dyDescent="0.2">
      <c r="A541" s="43"/>
      <c r="B541" s="43"/>
      <c r="C541" s="43"/>
      <c r="D541" s="43"/>
      <c r="E541" s="43"/>
      <c r="F541" s="43"/>
      <c r="G541" s="43"/>
    </row>
    <row r="542" spans="1:7" x14ac:dyDescent="0.2">
      <c r="A542" s="44"/>
      <c r="B542" s="44"/>
      <c r="C542" s="44"/>
      <c r="D542" s="44"/>
      <c r="E542" s="44"/>
      <c r="F542" s="44"/>
      <c r="G542" s="44"/>
    </row>
    <row r="543" spans="1:7" x14ac:dyDescent="0.2">
      <c r="A543" s="43"/>
      <c r="B543" s="43"/>
      <c r="C543" s="43"/>
      <c r="D543" s="43"/>
      <c r="E543" s="43"/>
      <c r="F543" s="43"/>
      <c r="G543" s="43"/>
    </row>
    <row r="544" spans="1:7" x14ac:dyDescent="0.2">
      <c r="A544" s="44"/>
      <c r="B544" s="44"/>
      <c r="C544" s="44"/>
      <c r="D544" s="44"/>
      <c r="E544" s="44"/>
      <c r="F544" s="44"/>
      <c r="G544" s="44"/>
    </row>
    <row r="545" spans="1:7" x14ac:dyDescent="0.2">
      <c r="A545" s="43"/>
      <c r="B545" s="43"/>
      <c r="C545" s="43"/>
      <c r="D545" s="43"/>
      <c r="E545" s="43"/>
      <c r="F545" s="43"/>
      <c r="G545" s="43"/>
    </row>
    <row r="546" spans="1:7" x14ac:dyDescent="0.2">
      <c r="A546" s="44"/>
      <c r="B546" s="44"/>
      <c r="C546" s="44"/>
      <c r="D546" s="44"/>
      <c r="E546" s="44"/>
      <c r="F546" s="44"/>
      <c r="G546" s="44"/>
    </row>
    <row r="547" spans="1:7" x14ac:dyDescent="0.2">
      <c r="A547" s="43"/>
      <c r="B547" s="43"/>
      <c r="C547" s="43"/>
      <c r="D547" s="43"/>
      <c r="E547" s="43"/>
      <c r="F547" s="43"/>
      <c r="G547" s="43"/>
    </row>
    <row r="548" spans="1:7" x14ac:dyDescent="0.2">
      <c r="A548" s="44"/>
      <c r="B548" s="44"/>
      <c r="C548" s="44"/>
      <c r="D548" s="44"/>
      <c r="E548" s="44"/>
      <c r="F548" s="44"/>
      <c r="G548" s="44"/>
    </row>
    <row r="549" spans="1:7" x14ac:dyDescent="0.2">
      <c r="A549" s="43"/>
      <c r="B549" s="43"/>
      <c r="C549" s="43"/>
      <c r="D549" s="43"/>
      <c r="E549" s="43"/>
      <c r="F549" s="43"/>
      <c r="G549" s="43"/>
    </row>
    <row r="550" spans="1:7" x14ac:dyDescent="0.2">
      <c r="A550" s="44"/>
      <c r="B550" s="44"/>
      <c r="C550" s="44"/>
      <c r="D550" s="44"/>
      <c r="E550" s="44"/>
      <c r="F550" s="44"/>
      <c r="G550" s="44"/>
    </row>
    <row r="551" spans="1:7" x14ac:dyDescent="0.2">
      <c r="A551" s="43"/>
      <c r="B551" s="43"/>
      <c r="C551" s="43"/>
      <c r="D551" s="43"/>
      <c r="E551" s="43"/>
      <c r="F551" s="43"/>
      <c r="G551" s="43"/>
    </row>
    <row r="552" spans="1:7" x14ac:dyDescent="0.2">
      <c r="A552" s="44"/>
      <c r="B552" s="44"/>
      <c r="C552" s="44"/>
      <c r="D552" s="44"/>
      <c r="E552" s="44"/>
      <c r="F552" s="44"/>
      <c r="G552" s="44"/>
    </row>
    <row r="553" spans="1:7" x14ac:dyDescent="0.2">
      <c r="A553" s="43"/>
      <c r="B553" s="43"/>
      <c r="C553" s="43"/>
      <c r="D553" s="43"/>
      <c r="E553" s="43"/>
      <c r="F553" s="43"/>
      <c r="G553" s="43"/>
    </row>
    <row r="554" spans="1:7" x14ac:dyDescent="0.2">
      <c r="A554" s="44"/>
      <c r="B554" s="44"/>
      <c r="C554" s="44"/>
      <c r="D554" s="44"/>
      <c r="E554" s="44"/>
      <c r="F554" s="44"/>
      <c r="G554" s="44"/>
    </row>
    <row r="555" spans="1:7" x14ac:dyDescent="0.2">
      <c r="A555" s="43"/>
      <c r="B555" s="43"/>
      <c r="C555" s="43"/>
      <c r="D555" s="43"/>
      <c r="E555" s="43"/>
      <c r="F555" s="43"/>
      <c r="G555" s="43"/>
    </row>
    <row r="556" spans="1:7" x14ac:dyDescent="0.2">
      <c r="A556" s="44"/>
      <c r="B556" s="44"/>
      <c r="C556" s="44"/>
      <c r="D556" s="44"/>
      <c r="E556" s="44"/>
      <c r="F556" s="44"/>
      <c r="G556" s="44"/>
    </row>
    <row r="557" spans="1:7" x14ac:dyDescent="0.2">
      <c r="A557" s="43"/>
      <c r="B557" s="43"/>
      <c r="C557" s="43"/>
      <c r="D557" s="43"/>
      <c r="E557" s="43"/>
      <c r="F557" s="43"/>
      <c r="G557" s="43"/>
    </row>
    <row r="558" spans="1:7" x14ac:dyDescent="0.2">
      <c r="A558" s="44"/>
      <c r="B558" s="44"/>
      <c r="C558" s="44"/>
      <c r="D558" s="44"/>
      <c r="E558" s="44"/>
      <c r="F558" s="44"/>
      <c r="G558" s="44"/>
    </row>
    <row r="559" spans="1:7" x14ac:dyDescent="0.2">
      <c r="A559" s="43"/>
      <c r="B559" s="43"/>
      <c r="C559" s="43"/>
      <c r="D559" s="43"/>
      <c r="E559" s="43"/>
      <c r="F559" s="43"/>
      <c r="G559" s="43"/>
    </row>
    <row r="560" spans="1:7" x14ac:dyDescent="0.2">
      <c r="A560" s="44"/>
      <c r="B560" s="44"/>
      <c r="C560" s="44"/>
      <c r="D560" s="44"/>
      <c r="E560" s="44"/>
      <c r="F560" s="44"/>
      <c r="G560" s="44"/>
    </row>
    <row r="561" spans="1:7" x14ac:dyDescent="0.2">
      <c r="A561" s="43"/>
      <c r="B561" s="43"/>
      <c r="C561" s="43"/>
      <c r="D561" s="43"/>
      <c r="E561" s="43"/>
      <c r="F561" s="43"/>
      <c r="G561" s="43"/>
    </row>
    <row r="562" spans="1:7" x14ac:dyDescent="0.2">
      <c r="A562" s="44"/>
      <c r="B562" s="44"/>
      <c r="C562" s="44"/>
      <c r="D562" s="44"/>
      <c r="E562" s="44"/>
      <c r="F562" s="44"/>
      <c r="G562" s="44"/>
    </row>
    <row r="563" spans="1:7" x14ac:dyDescent="0.2">
      <c r="A563" s="43"/>
      <c r="B563" s="43"/>
      <c r="C563" s="43"/>
      <c r="D563" s="43"/>
      <c r="E563" s="43"/>
      <c r="F563" s="43"/>
      <c r="G563" s="43"/>
    </row>
    <row r="564" spans="1:7" x14ac:dyDescent="0.2">
      <c r="A564" s="44"/>
      <c r="B564" s="44"/>
      <c r="C564" s="44"/>
      <c r="D564" s="44"/>
      <c r="E564" s="44"/>
      <c r="F564" s="44"/>
      <c r="G564" s="44"/>
    </row>
    <row r="565" spans="1:7" x14ac:dyDescent="0.2">
      <c r="A565" s="43"/>
      <c r="B565" s="43"/>
      <c r="C565" s="43"/>
      <c r="D565" s="43"/>
      <c r="E565" s="43"/>
      <c r="F565" s="43"/>
      <c r="G565" s="43"/>
    </row>
    <row r="566" spans="1:7" x14ac:dyDescent="0.2">
      <c r="A566" s="44"/>
      <c r="B566" s="44"/>
      <c r="C566" s="44"/>
      <c r="D566" s="44"/>
      <c r="E566" s="44"/>
      <c r="F566" s="44"/>
      <c r="G566" s="44"/>
    </row>
    <row r="567" spans="1:7" x14ac:dyDescent="0.2">
      <c r="A567" s="43"/>
      <c r="B567" s="43"/>
      <c r="C567" s="43"/>
      <c r="D567" s="43"/>
      <c r="E567" s="43"/>
      <c r="F567" s="43"/>
      <c r="G567" s="43"/>
    </row>
    <row r="568" spans="1:7" x14ac:dyDescent="0.2">
      <c r="A568" s="44"/>
      <c r="B568" s="44"/>
      <c r="C568" s="44"/>
      <c r="D568" s="44"/>
      <c r="E568" s="44"/>
      <c r="F568" s="44"/>
      <c r="G568" s="44"/>
    </row>
    <row r="569" spans="1:7" x14ac:dyDescent="0.2">
      <c r="A569" s="43"/>
      <c r="B569" s="43"/>
      <c r="C569" s="43"/>
      <c r="D569" s="43"/>
      <c r="E569" s="43"/>
      <c r="F569" s="43"/>
      <c r="G569" s="43"/>
    </row>
    <row r="570" spans="1:7" x14ac:dyDescent="0.2">
      <c r="A570" s="44"/>
      <c r="B570" s="44"/>
      <c r="C570" s="44"/>
      <c r="D570" s="44"/>
      <c r="E570" s="44"/>
      <c r="F570" s="44"/>
      <c r="G570" s="44"/>
    </row>
    <row r="571" spans="1:7" x14ac:dyDescent="0.2">
      <c r="A571" s="43"/>
      <c r="B571" s="43"/>
      <c r="C571" s="43"/>
      <c r="D571" s="43"/>
      <c r="E571" s="43"/>
      <c r="F571" s="43"/>
      <c r="G571" s="43"/>
    </row>
    <row r="572" spans="1:7" x14ac:dyDescent="0.2">
      <c r="A572" s="44"/>
      <c r="B572" s="44"/>
      <c r="C572" s="44"/>
      <c r="D572" s="44"/>
      <c r="E572" s="44"/>
      <c r="F572" s="44"/>
      <c r="G572" s="44"/>
    </row>
    <row r="573" spans="1:7" x14ac:dyDescent="0.2">
      <c r="A573" s="43"/>
      <c r="B573" s="43"/>
      <c r="C573" s="43"/>
      <c r="D573" s="43"/>
      <c r="E573" s="43"/>
      <c r="F573" s="43"/>
      <c r="G573" s="43"/>
    </row>
    <row r="574" spans="1:7" x14ac:dyDescent="0.2">
      <c r="A574" s="44"/>
      <c r="B574" s="44"/>
      <c r="C574" s="44"/>
      <c r="D574" s="44"/>
      <c r="E574" s="44"/>
      <c r="F574" s="44"/>
      <c r="G574" s="44"/>
    </row>
    <row r="575" spans="1:7" x14ac:dyDescent="0.2">
      <c r="A575" s="43"/>
      <c r="B575" s="43"/>
      <c r="C575" s="43"/>
      <c r="D575" s="43"/>
      <c r="E575" s="43"/>
      <c r="F575" s="43"/>
      <c r="G575" s="43"/>
    </row>
    <row r="576" spans="1:7" x14ac:dyDescent="0.2">
      <c r="A576" s="44"/>
      <c r="B576" s="44"/>
      <c r="C576" s="44"/>
      <c r="D576" s="44"/>
      <c r="E576" s="44"/>
      <c r="F576" s="44"/>
      <c r="G576" s="44"/>
    </row>
    <row r="577" spans="1:7" x14ac:dyDescent="0.2">
      <c r="A577" s="43"/>
      <c r="B577" s="43"/>
      <c r="C577" s="43"/>
      <c r="D577" s="43"/>
      <c r="E577" s="43"/>
      <c r="F577" s="43"/>
      <c r="G577" s="43"/>
    </row>
    <row r="578" spans="1:7" x14ac:dyDescent="0.2">
      <c r="A578" s="44"/>
      <c r="B578" s="44"/>
      <c r="C578" s="44"/>
      <c r="D578" s="44"/>
      <c r="E578" s="44"/>
      <c r="F578" s="44"/>
      <c r="G578" s="44"/>
    </row>
    <row r="579" spans="1:7" x14ac:dyDescent="0.2">
      <c r="A579" s="43"/>
      <c r="B579" s="43"/>
      <c r="C579" s="43"/>
      <c r="D579" s="43"/>
      <c r="E579" s="43"/>
      <c r="F579" s="43"/>
      <c r="G579" s="43"/>
    </row>
    <row r="580" spans="1:7" x14ac:dyDescent="0.2">
      <c r="A580" s="44"/>
      <c r="B580" s="44"/>
      <c r="C580" s="44"/>
      <c r="D580" s="44"/>
      <c r="E580" s="44"/>
      <c r="F580" s="44"/>
      <c r="G580" s="44"/>
    </row>
    <row r="581" spans="1:7" x14ac:dyDescent="0.2">
      <c r="A581" s="43"/>
      <c r="B581" s="43"/>
      <c r="C581" s="43"/>
      <c r="D581" s="43"/>
      <c r="E581" s="43"/>
      <c r="F581" s="43"/>
      <c r="G581" s="43"/>
    </row>
    <row r="582" spans="1:7" x14ac:dyDescent="0.2">
      <c r="A582" s="44"/>
      <c r="B582" s="44"/>
      <c r="C582" s="44"/>
      <c r="D582" s="44"/>
      <c r="E582" s="44"/>
      <c r="F582" s="44"/>
      <c r="G582" s="44"/>
    </row>
    <row r="583" spans="1:7" x14ac:dyDescent="0.2">
      <c r="A583" s="43"/>
      <c r="B583" s="43"/>
      <c r="C583" s="43"/>
      <c r="D583" s="43"/>
      <c r="E583" s="43"/>
      <c r="F583" s="43"/>
      <c r="G583" s="43"/>
    </row>
    <row r="584" spans="1:7" x14ac:dyDescent="0.2">
      <c r="A584" s="44"/>
      <c r="B584" s="44"/>
      <c r="C584" s="44"/>
      <c r="D584" s="44"/>
      <c r="E584" s="44"/>
      <c r="F584" s="44"/>
      <c r="G584" s="44"/>
    </row>
    <row r="585" spans="1:7" x14ac:dyDescent="0.2">
      <c r="A585" s="43"/>
      <c r="B585" s="43"/>
      <c r="C585" s="43"/>
      <c r="D585" s="43"/>
      <c r="E585" s="43"/>
      <c r="F585" s="43"/>
      <c r="G585" s="43"/>
    </row>
    <row r="586" spans="1:7" x14ac:dyDescent="0.2">
      <c r="A586" s="44"/>
      <c r="B586" s="44"/>
      <c r="C586" s="44"/>
      <c r="D586" s="44"/>
      <c r="E586" s="44"/>
      <c r="F586" s="44"/>
      <c r="G586" s="44"/>
    </row>
    <row r="587" spans="1:7" x14ac:dyDescent="0.2">
      <c r="A587" s="43"/>
      <c r="B587" s="43"/>
      <c r="C587" s="43"/>
      <c r="D587" s="43"/>
      <c r="E587" s="43"/>
      <c r="F587" s="43"/>
      <c r="G587" s="43"/>
    </row>
    <row r="588" spans="1:7" x14ac:dyDescent="0.2">
      <c r="A588" s="44"/>
      <c r="B588" s="44"/>
      <c r="C588" s="44"/>
      <c r="D588" s="44"/>
      <c r="E588" s="44"/>
      <c r="F588" s="44"/>
      <c r="G588" s="44"/>
    </row>
    <row r="589" spans="1:7" x14ac:dyDescent="0.2">
      <c r="A589" s="43"/>
      <c r="B589" s="43"/>
      <c r="C589" s="43"/>
      <c r="D589" s="43"/>
      <c r="E589" s="43"/>
      <c r="F589" s="43"/>
      <c r="G589" s="43"/>
    </row>
    <row r="590" spans="1:7" x14ac:dyDescent="0.2">
      <c r="A590" s="44"/>
      <c r="B590" s="44"/>
      <c r="C590" s="44"/>
      <c r="D590" s="44"/>
      <c r="E590" s="44"/>
      <c r="F590" s="44"/>
      <c r="G590" s="44"/>
    </row>
    <row r="591" spans="1:7" x14ac:dyDescent="0.2">
      <c r="A591" s="43"/>
      <c r="B591" s="43"/>
      <c r="C591" s="43"/>
      <c r="D591" s="43"/>
      <c r="E591" s="43"/>
      <c r="F591" s="43"/>
      <c r="G591" s="43"/>
    </row>
    <row r="592" spans="1:7" x14ac:dyDescent="0.2">
      <c r="A592" s="44"/>
      <c r="B592" s="44"/>
      <c r="C592" s="44"/>
      <c r="D592" s="44"/>
      <c r="E592" s="44"/>
      <c r="F592" s="44"/>
      <c r="G592" s="44"/>
    </row>
    <row r="593" spans="1:7" x14ac:dyDescent="0.2">
      <c r="A593" s="43"/>
      <c r="B593" s="43"/>
      <c r="C593" s="43"/>
      <c r="D593" s="43"/>
      <c r="E593" s="43"/>
      <c r="F593" s="43"/>
      <c r="G593" s="43"/>
    </row>
    <row r="594" spans="1:7" x14ac:dyDescent="0.2">
      <c r="A594" s="44"/>
      <c r="B594" s="44"/>
      <c r="C594" s="44"/>
      <c r="D594" s="44"/>
      <c r="E594" s="44"/>
      <c r="F594" s="44"/>
      <c r="G594" s="44"/>
    </row>
    <row r="595" spans="1:7" x14ac:dyDescent="0.2">
      <c r="A595" s="43"/>
      <c r="B595" s="43"/>
      <c r="C595" s="43"/>
      <c r="D595" s="43"/>
      <c r="E595" s="43"/>
      <c r="F595" s="43"/>
      <c r="G595" s="43"/>
    </row>
    <row r="596" spans="1:7" x14ac:dyDescent="0.2">
      <c r="A596" s="44"/>
      <c r="B596" s="44"/>
      <c r="C596" s="44"/>
      <c r="D596" s="44"/>
      <c r="E596" s="44"/>
      <c r="F596" s="44"/>
      <c r="G596" s="44"/>
    </row>
    <row r="597" spans="1:7" x14ac:dyDescent="0.2">
      <c r="A597" s="43"/>
      <c r="B597" s="43"/>
      <c r="C597" s="43"/>
      <c r="D597" s="43"/>
      <c r="E597" s="43"/>
      <c r="F597" s="43"/>
      <c r="G597" s="43"/>
    </row>
    <row r="598" spans="1:7" x14ac:dyDescent="0.2">
      <c r="A598" s="44"/>
      <c r="B598" s="44"/>
      <c r="C598" s="44"/>
      <c r="D598" s="44"/>
      <c r="E598" s="44"/>
      <c r="F598" s="44"/>
      <c r="G598" s="44"/>
    </row>
    <row r="599" spans="1:7" x14ac:dyDescent="0.2">
      <c r="A599" s="43"/>
      <c r="B599" s="43"/>
      <c r="C599" s="43"/>
      <c r="D599" s="43"/>
      <c r="E599" s="43"/>
      <c r="F599" s="43"/>
      <c r="G599" s="43"/>
    </row>
    <row r="600" spans="1:7" x14ac:dyDescent="0.2">
      <c r="A600" s="44"/>
      <c r="B600" s="44"/>
      <c r="C600" s="44"/>
      <c r="D600" s="44"/>
      <c r="E600" s="44"/>
      <c r="F600" s="44"/>
      <c r="G600" s="44"/>
    </row>
    <row r="601" spans="1:7" x14ac:dyDescent="0.2">
      <c r="A601" s="43"/>
      <c r="B601" s="43"/>
      <c r="C601" s="43"/>
      <c r="D601" s="43"/>
      <c r="E601" s="43"/>
      <c r="F601" s="43"/>
      <c r="G601" s="43"/>
    </row>
    <row r="602" spans="1:7" x14ac:dyDescent="0.2">
      <c r="A602" s="44"/>
      <c r="B602" s="44"/>
      <c r="C602" s="44"/>
      <c r="D602" s="44"/>
      <c r="E602" s="44"/>
      <c r="F602" s="44"/>
      <c r="G602" s="44"/>
    </row>
    <row r="603" spans="1:7" x14ac:dyDescent="0.2">
      <c r="A603" s="43"/>
      <c r="B603" s="43"/>
      <c r="C603" s="43"/>
      <c r="D603" s="43"/>
      <c r="E603" s="43"/>
      <c r="F603" s="43"/>
      <c r="G603" s="43"/>
    </row>
    <row r="604" spans="1:7" x14ac:dyDescent="0.2">
      <c r="A604" s="44"/>
      <c r="B604" s="44"/>
      <c r="C604" s="44"/>
      <c r="D604" s="44"/>
      <c r="E604" s="44"/>
      <c r="F604" s="44"/>
      <c r="G604" s="44"/>
    </row>
    <row r="605" spans="1:7" x14ac:dyDescent="0.2">
      <c r="A605" s="43"/>
      <c r="B605" s="43"/>
      <c r="C605" s="43"/>
      <c r="D605" s="43"/>
      <c r="E605" s="43"/>
      <c r="F605" s="43"/>
      <c r="G605" s="43"/>
    </row>
    <row r="606" spans="1:7" x14ac:dyDescent="0.2">
      <c r="A606" s="44"/>
      <c r="B606" s="44"/>
      <c r="C606" s="44"/>
      <c r="D606" s="44"/>
      <c r="E606" s="44"/>
      <c r="F606" s="44"/>
      <c r="G606" s="44"/>
    </row>
    <row r="607" spans="1:7" x14ac:dyDescent="0.2">
      <c r="A607" s="43"/>
      <c r="B607" s="43"/>
      <c r="C607" s="43"/>
      <c r="D607" s="43"/>
      <c r="E607" s="43"/>
      <c r="F607" s="43"/>
      <c r="G607" s="43"/>
    </row>
    <row r="608" spans="1:7" x14ac:dyDescent="0.2">
      <c r="A608" s="44"/>
      <c r="B608" s="44"/>
      <c r="C608" s="44"/>
      <c r="D608" s="44"/>
      <c r="E608" s="44"/>
      <c r="F608" s="44"/>
      <c r="G608" s="44"/>
    </row>
    <row r="609" spans="1:7" x14ac:dyDescent="0.2">
      <c r="A609" s="43"/>
      <c r="B609" s="43"/>
      <c r="C609" s="43"/>
      <c r="D609" s="43"/>
      <c r="E609" s="43"/>
      <c r="F609" s="43"/>
      <c r="G609" s="43"/>
    </row>
    <row r="610" spans="1:7" x14ac:dyDescent="0.2">
      <c r="A610" s="44"/>
      <c r="B610" s="44"/>
      <c r="C610" s="44"/>
      <c r="D610" s="44"/>
      <c r="E610" s="44"/>
      <c r="F610" s="44"/>
      <c r="G610" s="44"/>
    </row>
    <row r="611" spans="1:7" x14ac:dyDescent="0.2">
      <c r="A611" s="43"/>
      <c r="B611" s="43"/>
      <c r="C611" s="43"/>
      <c r="D611" s="43"/>
      <c r="E611" s="43"/>
      <c r="F611" s="43"/>
      <c r="G611" s="43"/>
    </row>
    <row r="612" spans="1:7" x14ac:dyDescent="0.2">
      <c r="A612" s="44"/>
      <c r="B612" s="44"/>
      <c r="C612" s="44"/>
      <c r="D612" s="44"/>
      <c r="E612" s="44"/>
      <c r="F612" s="44"/>
      <c r="G612" s="44"/>
    </row>
    <row r="613" spans="1:7" x14ac:dyDescent="0.2">
      <c r="A613" s="43"/>
      <c r="B613" s="43"/>
      <c r="C613" s="43"/>
      <c r="D613" s="43"/>
      <c r="E613" s="43"/>
      <c r="F613" s="43"/>
      <c r="G613" s="43"/>
    </row>
    <row r="614" spans="1:7" x14ac:dyDescent="0.2">
      <c r="A614" s="44"/>
      <c r="B614" s="44"/>
      <c r="C614" s="44"/>
      <c r="D614" s="44"/>
      <c r="E614" s="44"/>
      <c r="F614" s="44"/>
      <c r="G614" s="44"/>
    </row>
    <row r="615" spans="1:7" x14ac:dyDescent="0.2">
      <c r="A615" s="43"/>
      <c r="B615" s="43"/>
      <c r="C615" s="43"/>
      <c r="D615" s="43"/>
      <c r="E615" s="43"/>
      <c r="F615" s="43"/>
      <c r="G615" s="43"/>
    </row>
    <row r="616" spans="1:7" x14ac:dyDescent="0.2">
      <c r="A616" s="44"/>
      <c r="B616" s="44"/>
      <c r="C616" s="44"/>
      <c r="D616" s="44"/>
      <c r="E616" s="44"/>
      <c r="F616" s="44"/>
      <c r="G616" s="44"/>
    </row>
    <row r="617" spans="1:7" x14ac:dyDescent="0.2">
      <c r="A617" s="43"/>
      <c r="B617" s="43"/>
      <c r="C617" s="43"/>
      <c r="D617" s="43"/>
      <c r="E617" s="43"/>
      <c r="F617" s="43"/>
      <c r="G617" s="43"/>
    </row>
    <row r="618" spans="1:7" x14ac:dyDescent="0.2">
      <c r="A618" s="44"/>
      <c r="B618" s="44"/>
      <c r="C618" s="44"/>
      <c r="D618" s="44"/>
      <c r="E618" s="44"/>
      <c r="F618" s="44"/>
      <c r="G618" s="44"/>
    </row>
    <row r="619" spans="1:7" x14ac:dyDescent="0.2">
      <c r="A619" s="43"/>
      <c r="B619" s="43"/>
      <c r="C619" s="43"/>
      <c r="D619" s="43"/>
      <c r="E619" s="43"/>
      <c r="F619" s="43"/>
      <c r="G619" s="43"/>
    </row>
    <row r="620" spans="1:7" x14ac:dyDescent="0.2">
      <c r="A620" s="44"/>
      <c r="B620" s="44"/>
      <c r="C620" s="44"/>
      <c r="D620" s="44"/>
      <c r="E620" s="44"/>
      <c r="F620" s="44"/>
      <c r="G620" s="44"/>
    </row>
    <row r="621" spans="1:7" x14ac:dyDescent="0.2">
      <c r="A621" s="43"/>
      <c r="B621" s="43"/>
      <c r="C621" s="43"/>
      <c r="D621" s="43"/>
      <c r="E621" s="43"/>
      <c r="F621" s="43"/>
      <c r="G621" s="43"/>
    </row>
    <row r="622" spans="1:7" x14ac:dyDescent="0.2">
      <c r="A622" s="44"/>
      <c r="B622" s="44"/>
      <c r="C622" s="44"/>
      <c r="D622" s="44"/>
      <c r="E622" s="44"/>
      <c r="F622" s="44"/>
      <c r="G622" s="44"/>
    </row>
    <row r="623" spans="1:7" x14ac:dyDescent="0.2">
      <c r="A623" s="43"/>
      <c r="B623" s="43"/>
      <c r="C623" s="43"/>
      <c r="D623" s="43"/>
      <c r="E623" s="43"/>
      <c r="F623" s="43"/>
      <c r="G623" s="43"/>
    </row>
    <row r="624" spans="1:7" x14ac:dyDescent="0.2">
      <c r="A624" s="44"/>
      <c r="B624" s="44"/>
      <c r="C624" s="44"/>
      <c r="D624" s="44"/>
      <c r="E624" s="44"/>
      <c r="F624" s="44"/>
      <c r="G624" s="44"/>
    </row>
    <row r="625" spans="1:7" x14ac:dyDescent="0.2">
      <c r="A625" s="43"/>
      <c r="B625" s="43"/>
      <c r="C625" s="43"/>
      <c r="D625" s="43"/>
      <c r="E625" s="43"/>
      <c r="F625" s="43"/>
      <c r="G625" s="43"/>
    </row>
    <row r="626" spans="1:7" x14ac:dyDescent="0.2">
      <c r="A626" s="44"/>
      <c r="B626" s="44"/>
      <c r="C626" s="44"/>
      <c r="D626" s="44"/>
      <c r="E626" s="44"/>
      <c r="F626" s="44"/>
      <c r="G626" s="44"/>
    </row>
    <row r="627" spans="1:7" x14ac:dyDescent="0.2">
      <c r="A627" s="43"/>
      <c r="B627" s="43"/>
      <c r="C627" s="43"/>
      <c r="D627" s="43"/>
      <c r="E627" s="43"/>
      <c r="F627" s="43"/>
      <c r="G627" s="43"/>
    </row>
    <row r="628" spans="1:7" x14ac:dyDescent="0.2">
      <c r="A628" s="44"/>
      <c r="B628" s="44"/>
      <c r="C628" s="44"/>
      <c r="D628" s="44"/>
      <c r="E628" s="44"/>
      <c r="F628" s="44"/>
      <c r="G628" s="44"/>
    </row>
    <row r="629" spans="1:7" x14ac:dyDescent="0.2">
      <c r="A629" s="43"/>
      <c r="B629" s="43"/>
      <c r="C629" s="43"/>
      <c r="D629" s="43"/>
      <c r="E629" s="43"/>
      <c r="F629" s="43"/>
      <c r="G629" s="43"/>
    </row>
    <row r="630" spans="1:7" x14ac:dyDescent="0.2">
      <c r="A630" s="44"/>
      <c r="B630" s="44"/>
      <c r="C630" s="44"/>
      <c r="D630" s="44"/>
      <c r="E630" s="44"/>
      <c r="F630" s="44"/>
      <c r="G630" s="44"/>
    </row>
    <row r="631" spans="1:7" x14ac:dyDescent="0.2">
      <c r="A631" s="43"/>
      <c r="B631" s="43"/>
      <c r="C631" s="43"/>
      <c r="D631" s="43"/>
      <c r="E631" s="43"/>
      <c r="F631" s="43"/>
      <c r="G631" s="43"/>
    </row>
    <row r="632" spans="1:7" x14ac:dyDescent="0.2">
      <c r="A632" s="44"/>
      <c r="B632" s="44"/>
      <c r="C632" s="44"/>
      <c r="D632" s="44"/>
      <c r="E632" s="44"/>
      <c r="F632" s="44"/>
      <c r="G632" s="44"/>
    </row>
    <row r="633" spans="1:7" x14ac:dyDescent="0.2">
      <c r="A633" s="43"/>
      <c r="B633" s="43"/>
      <c r="C633" s="43"/>
      <c r="D633" s="43"/>
      <c r="E633" s="43"/>
      <c r="F633" s="43"/>
      <c r="G633" s="43"/>
    </row>
    <row r="634" spans="1:7" x14ac:dyDescent="0.2">
      <c r="A634" s="44"/>
      <c r="B634" s="44"/>
      <c r="C634" s="44"/>
      <c r="D634" s="44"/>
      <c r="E634" s="44"/>
      <c r="F634" s="44"/>
      <c r="G634" s="44"/>
    </row>
    <row r="635" spans="1:7" x14ac:dyDescent="0.2">
      <c r="A635" s="43"/>
      <c r="B635" s="43"/>
      <c r="C635" s="43"/>
      <c r="D635" s="43"/>
      <c r="E635" s="43"/>
      <c r="F635" s="43"/>
      <c r="G635" s="43"/>
    </row>
    <row r="636" spans="1:7" x14ac:dyDescent="0.2">
      <c r="A636" s="44"/>
      <c r="B636" s="44"/>
      <c r="C636" s="44"/>
      <c r="D636" s="44"/>
      <c r="E636" s="44"/>
      <c r="F636" s="44"/>
      <c r="G636" s="44"/>
    </row>
    <row r="637" spans="1:7" x14ac:dyDescent="0.2">
      <c r="A637" s="43"/>
      <c r="B637" s="43"/>
      <c r="C637" s="43"/>
      <c r="D637" s="43"/>
      <c r="E637" s="43"/>
      <c r="F637" s="43"/>
      <c r="G637" s="43"/>
    </row>
    <row r="638" spans="1:7" x14ac:dyDescent="0.2">
      <c r="A638" s="44"/>
      <c r="B638" s="44"/>
      <c r="C638" s="44"/>
      <c r="D638" s="44"/>
      <c r="E638" s="44"/>
      <c r="F638" s="44"/>
      <c r="G638" s="44"/>
    </row>
    <row r="639" spans="1:7" x14ac:dyDescent="0.2">
      <c r="A639" s="43"/>
      <c r="B639" s="43"/>
      <c r="C639" s="43"/>
      <c r="D639" s="43"/>
      <c r="E639" s="43"/>
      <c r="F639" s="43"/>
      <c r="G639" s="43"/>
    </row>
    <row r="640" spans="1:7" x14ac:dyDescent="0.2">
      <c r="A640" s="44"/>
      <c r="B640" s="44"/>
      <c r="C640" s="44"/>
      <c r="D640" s="44"/>
      <c r="E640" s="44"/>
      <c r="F640" s="44"/>
      <c r="G640" s="44"/>
    </row>
    <row r="641" spans="1:7" x14ac:dyDescent="0.2">
      <c r="A641" s="43"/>
      <c r="B641" s="43"/>
      <c r="C641" s="43"/>
      <c r="D641" s="43"/>
      <c r="E641" s="43"/>
      <c r="F641" s="43"/>
      <c r="G641" s="43"/>
    </row>
    <row r="642" spans="1:7" x14ac:dyDescent="0.2">
      <c r="A642" s="44"/>
      <c r="B642" s="44"/>
      <c r="C642" s="44"/>
      <c r="D642" s="44"/>
      <c r="E642" s="44"/>
      <c r="F642" s="44"/>
      <c r="G642" s="44"/>
    </row>
    <row r="643" spans="1:7" x14ac:dyDescent="0.2">
      <c r="A643" s="43"/>
      <c r="B643" s="43"/>
      <c r="C643" s="43"/>
      <c r="D643" s="43"/>
      <c r="E643" s="43"/>
      <c r="F643" s="43"/>
      <c r="G643" s="43"/>
    </row>
    <row r="644" spans="1:7" x14ac:dyDescent="0.2">
      <c r="A644" s="44"/>
      <c r="B644" s="44"/>
      <c r="C644" s="44"/>
      <c r="D644" s="44"/>
      <c r="E644" s="44"/>
      <c r="F644" s="44"/>
      <c r="G644" s="44"/>
    </row>
    <row r="645" spans="1:7" x14ac:dyDescent="0.2">
      <c r="A645" s="43"/>
      <c r="B645" s="43"/>
      <c r="C645" s="43"/>
      <c r="D645" s="43"/>
      <c r="E645" s="43"/>
      <c r="F645" s="43"/>
      <c r="G645" s="43"/>
    </row>
    <row r="646" spans="1:7" x14ac:dyDescent="0.2">
      <c r="A646" s="44"/>
      <c r="B646" s="44"/>
      <c r="C646" s="44"/>
      <c r="D646" s="44"/>
      <c r="E646" s="44"/>
      <c r="F646" s="44"/>
      <c r="G646" s="44"/>
    </row>
    <row r="647" spans="1:7" x14ac:dyDescent="0.2">
      <c r="A647" s="43"/>
      <c r="B647" s="43"/>
      <c r="C647" s="43"/>
      <c r="D647" s="43"/>
      <c r="E647" s="43"/>
      <c r="F647" s="43"/>
      <c r="G647" s="43"/>
    </row>
    <row r="648" spans="1:7" x14ac:dyDescent="0.2">
      <c r="A648" s="44"/>
      <c r="B648" s="44"/>
      <c r="C648" s="44"/>
      <c r="D648" s="44"/>
      <c r="E648" s="44"/>
      <c r="F648" s="44"/>
      <c r="G648" s="44"/>
    </row>
    <row r="649" spans="1:7" x14ac:dyDescent="0.2">
      <c r="A649" s="43"/>
      <c r="B649" s="43"/>
      <c r="C649" s="43"/>
      <c r="D649" s="43"/>
      <c r="E649" s="43"/>
      <c r="F649" s="43"/>
      <c r="G649" s="43"/>
    </row>
    <row r="650" spans="1:7" x14ac:dyDescent="0.2">
      <c r="A650" s="44"/>
      <c r="B650" s="44"/>
      <c r="C650" s="44"/>
      <c r="D650" s="44"/>
      <c r="E650" s="44"/>
      <c r="F650" s="44"/>
      <c r="G650" s="44"/>
    </row>
    <row r="651" spans="1:7" x14ac:dyDescent="0.2">
      <c r="A651" s="43"/>
      <c r="B651" s="43"/>
      <c r="C651" s="43"/>
      <c r="D651" s="43"/>
      <c r="E651" s="43"/>
      <c r="F651" s="43"/>
      <c r="G651" s="43"/>
    </row>
    <row r="652" spans="1:7" x14ac:dyDescent="0.2">
      <c r="A652" s="44"/>
      <c r="B652" s="44"/>
      <c r="C652" s="44"/>
      <c r="D652" s="44"/>
      <c r="E652" s="44"/>
      <c r="F652" s="44"/>
      <c r="G652" s="44"/>
    </row>
    <row r="653" spans="1:7" x14ac:dyDescent="0.2">
      <c r="A653" s="43"/>
      <c r="B653" s="43"/>
      <c r="C653" s="43"/>
      <c r="D653" s="43"/>
      <c r="E653" s="43"/>
      <c r="F653" s="43"/>
      <c r="G653" s="43"/>
    </row>
    <row r="654" spans="1:7" x14ac:dyDescent="0.2">
      <c r="A654" s="44"/>
      <c r="B654" s="44"/>
      <c r="C654" s="44"/>
      <c r="D654" s="44"/>
      <c r="E654" s="44"/>
      <c r="F654" s="44"/>
      <c r="G654" s="44"/>
    </row>
    <row r="655" spans="1:7" x14ac:dyDescent="0.2">
      <c r="A655" s="43"/>
      <c r="B655" s="43"/>
      <c r="C655" s="43"/>
      <c r="D655" s="43"/>
      <c r="E655" s="43"/>
      <c r="F655" s="43"/>
      <c r="G655" s="43"/>
    </row>
    <row r="656" spans="1:7" x14ac:dyDescent="0.2">
      <c r="A656" s="44"/>
      <c r="B656" s="44"/>
      <c r="C656" s="44"/>
      <c r="D656" s="44"/>
      <c r="E656" s="44"/>
      <c r="F656" s="44"/>
      <c r="G656" s="44"/>
    </row>
    <row r="657" spans="1:7" x14ac:dyDescent="0.2">
      <c r="A657" s="43"/>
      <c r="B657" s="43"/>
      <c r="C657" s="43"/>
      <c r="D657" s="43"/>
      <c r="E657" s="43"/>
      <c r="F657" s="43"/>
      <c r="G657" s="43"/>
    </row>
    <row r="658" spans="1:7" x14ac:dyDescent="0.2">
      <c r="A658" s="44"/>
      <c r="B658" s="44"/>
      <c r="C658" s="44"/>
      <c r="D658" s="44"/>
      <c r="E658" s="44"/>
      <c r="F658" s="44"/>
      <c r="G658" s="44"/>
    </row>
    <row r="659" spans="1:7" x14ac:dyDescent="0.2">
      <c r="A659" s="43"/>
      <c r="B659" s="43"/>
      <c r="C659" s="43"/>
      <c r="D659" s="43"/>
      <c r="E659" s="43"/>
      <c r="F659" s="43"/>
      <c r="G659" s="43"/>
    </row>
    <row r="660" spans="1:7" x14ac:dyDescent="0.2">
      <c r="A660" s="44"/>
      <c r="B660" s="44"/>
      <c r="C660" s="44"/>
      <c r="D660" s="44"/>
      <c r="E660" s="44"/>
      <c r="F660" s="44"/>
      <c r="G660" s="44"/>
    </row>
    <row r="661" spans="1:7" x14ac:dyDescent="0.2">
      <c r="A661" s="43"/>
      <c r="B661" s="43"/>
      <c r="C661" s="43"/>
      <c r="D661" s="43"/>
      <c r="E661" s="43"/>
      <c r="F661" s="43"/>
      <c r="G661" s="43"/>
    </row>
    <row r="662" spans="1:7" x14ac:dyDescent="0.2">
      <c r="A662" s="44"/>
      <c r="B662" s="44"/>
      <c r="C662" s="44"/>
      <c r="D662" s="44"/>
      <c r="E662" s="44"/>
      <c r="F662" s="44"/>
      <c r="G662" s="44"/>
    </row>
    <row r="663" spans="1:7" x14ac:dyDescent="0.2">
      <c r="A663" s="43"/>
      <c r="B663" s="43"/>
      <c r="C663" s="43"/>
      <c r="D663" s="43"/>
      <c r="E663" s="43"/>
      <c r="F663" s="43"/>
      <c r="G663" s="43"/>
    </row>
    <row r="664" spans="1:7" x14ac:dyDescent="0.2">
      <c r="A664" s="44"/>
      <c r="B664" s="44"/>
      <c r="C664" s="44"/>
      <c r="D664" s="44"/>
      <c r="E664" s="44"/>
      <c r="F664" s="44"/>
      <c r="G664" s="44"/>
    </row>
    <row r="665" spans="1:7" x14ac:dyDescent="0.2">
      <c r="A665" s="43"/>
      <c r="B665" s="43"/>
      <c r="C665" s="43"/>
      <c r="D665" s="43"/>
      <c r="E665" s="43"/>
      <c r="F665" s="43"/>
      <c r="G665" s="43"/>
    </row>
    <row r="666" spans="1:7" x14ac:dyDescent="0.2">
      <c r="A666" s="44"/>
      <c r="B666" s="44"/>
      <c r="C666" s="44"/>
      <c r="D666" s="44"/>
      <c r="E666" s="44"/>
      <c r="F666" s="44"/>
      <c r="G666" s="44"/>
    </row>
    <row r="667" spans="1:7" x14ac:dyDescent="0.2">
      <c r="A667" s="43"/>
      <c r="B667" s="43"/>
      <c r="C667" s="43"/>
      <c r="D667" s="43"/>
      <c r="E667" s="43"/>
      <c r="F667" s="43"/>
      <c r="G667" s="43"/>
    </row>
    <row r="668" spans="1:7" x14ac:dyDescent="0.2">
      <c r="A668" s="44"/>
      <c r="B668" s="44"/>
      <c r="C668" s="44"/>
      <c r="D668" s="44"/>
      <c r="E668" s="44"/>
      <c r="F668" s="44"/>
      <c r="G668" s="44"/>
    </row>
    <row r="669" spans="1:7" x14ac:dyDescent="0.2">
      <c r="A669" s="43"/>
      <c r="B669" s="43"/>
      <c r="C669" s="43"/>
      <c r="D669" s="43"/>
      <c r="E669" s="43"/>
      <c r="F669" s="43"/>
      <c r="G669" s="43"/>
    </row>
    <row r="670" spans="1:7" x14ac:dyDescent="0.2">
      <c r="A670" s="44"/>
      <c r="B670" s="44"/>
      <c r="C670" s="44"/>
      <c r="D670" s="44"/>
      <c r="E670" s="44"/>
      <c r="F670" s="44"/>
      <c r="G670" s="44"/>
    </row>
    <row r="671" spans="1:7" x14ac:dyDescent="0.2">
      <c r="A671" s="43"/>
      <c r="B671" s="43"/>
      <c r="C671" s="43"/>
      <c r="D671" s="43"/>
      <c r="E671" s="43"/>
      <c r="F671" s="43"/>
      <c r="G671" s="43"/>
    </row>
    <row r="672" spans="1:7" x14ac:dyDescent="0.2">
      <c r="A672" s="44"/>
      <c r="B672" s="44"/>
      <c r="C672" s="44"/>
      <c r="D672" s="44"/>
      <c r="E672" s="44"/>
      <c r="F672" s="44"/>
      <c r="G672" s="44"/>
    </row>
    <row r="673" spans="1:7" x14ac:dyDescent="0.2">
      <c r="A673" s="43"/>
      <c r="B673" s="43"/>
      <c r="C673" s="43"/>
      <c r="D673" s="43"/>
      <c r="E673" s="43"/>
      <c r="F673" s="43"/>
      <c r="G673" s="43"/>
    </row>
    <row r="674" spans="1:7" x14ac:dyDescent="0.2">
      <c r="A674" s="44"/>
      <c r="B674" s="44"/>
      <c r="C674" s="44"/>
      <c r="D674" s="44"/>
      <c r="E674" s="44"/>
      <c r="F674" s="44"/>
      <c r="G674" s="44"/>
    </row>
    <row r="675" spans="1:7" x14ac:dyDescent="0.2">
      <c r="A675" s="43"/>
      <c r="B675" s="43"/>
      <c r="C675" s="43"/>
      <c r="D675" s="43"/>
      <c r="E675" s="43"/>
      <c r="F675" s="43"/>
      <c r="G675" s="43"/>
    </row>
    <row r="676" spans="1:7" x14ac:dyDescent="0.2">
      <c r="A676" s="44"/>
      <c r="B676" s="44"/>
      <c r="C676" s="44"/>
      <c r="D676" s="44"/>
      <c r="E676" s="44"/>
      <c r="F676" s="44"/>
      <c r="G676" s="44"/>
    </row>
    <row r="677" spans="1:7" x14ac:dyDescent="0.2">
      <c r="A677" s="43"/>
      <c r="B677" s="43"/>
      <c r="C677" s="43"/>
      <c r="D677" s="43"/>
      <c r="E677" s="43"/>
      <c r="F677" s="43"/>
      <c r="G677" s="43"/>
    </row>
    <row r="678" spans="1:7" x14ac:dyDescent="0.2">
      <c r="A678" s="44"/>
      <c r="B678" s="44"/>
      <c r="C678" s="44"/>
      <c r="D678" s="44"/>
      <c r="E678" s="44"/>
      <c r="F678" s="44"/>
      <c r="G678" s="44"/>
    </row>
    <row r="679" spans="1:7" x14ac:dyDescent="0.2">
      <c r="A679" s="43"/>
      <c r="B679" s="43"/>
      <c r="C679" s="43"/>
      <c r="D679" s="43"/>
      <c r="E679" s="43"/>
      <c r="F679" s="43"/>
      <c r="G679" s="43"/>
    </row>
    <row r="680" spans="1:7" x14ac:dyDescent="0.2">
      <c r="A680" s="44"/>
      <c r="B680" s="44"/>
      <c r="C680" s="44"/>
      <c r="D680" s="44"/>
      <c r="E680" s="44"/>
      <c r="F680" s="44"/>
      <c r="G680" s="44"/>
    </row>
    <row r="681" spans="1:7" x14ac:dyDescent="0.2">
      <c r="A681" s="43"/>
      <c r="B681" s="43"/>
      <c r="C681" s="43"/>
      <c r="D681" s="43"/>
      <c r="E681" s="43"/>
      <c r="F681" s="43"/>
      <c r="G681" s="43"/>
    </row>
    <row r="682" spans="1:7" x14ac:dyDescent="0.2">
      <c r="A682" s="44"/>
      <c r="B682" s="44"/>
      <c r="C682" s="44"/>
      <c r="D682" s="44"/>
      <c r="E682" s="44"/>
      <c r="F682" s="44"/>
      <c r="G682" s="44"/>
    </row>
    <row r="683" spans="1:7" x14ac:dyDescent="0.2">
      <c r="A683" s="43"/>
      <c r="B683" s="43"/>
      <c r="C683" s="43"/>
      <c r="D683" s="43"/>
      <c r="E683" s="43"/>
      <c r="F683" s="43"/>
      <c r="G683" s="43"/>
    </row>
    <row r="684" spans="1:7" x14ac:dyDescent="0.2">
      <c r="A684" s="44"/>
      <c r="B684" s="44"/>
      <c r="C684" s="44"/>
      <c r="D684" s="44"/>
      <c r="E684" s="44"/>
      <c r="F684" s="44"/>
      <c r="G684" s="44"/>
    </row>
    <row r="685" spans="1:7" x14ac:dyDescent="0.2">
      <c r="A685" s="43"/>
      <c r="B685" s="43"/>
      <c r="C685" s="43"/>
      <c r="D685" s="43"/>
      <c r="E685" s="43"/>
      <c r="F685" s="43"/>
      <c r="G685" s="43"/>
    </row>
    <row r="686" spans="1:7" x14ac:dyDescent="0.2">
      <c r="A686" s="44"/>
      <c r="B686" s="44"/>
      <c r="C686" s="44"/>
      <c r="D686" s="44"/>
      <c r="E686" s="44"/>
      <c r="F686" s="44"/>
      <c r="G686" s="44"/>
    </row>
    <row r="687" spans="1:7" x14ac:dyDescent="0.2">
      <c r="A687" s="43"/>
      <c r="B687" s="43"/>
      <c r="C687" s="43"/>
      <c r="D687" s="43"/>
      <c r="E687" s="43"/>
      <c r="F687" s="43"/>
      <c r="G687" s="43"/>
    </row>
    <row r="688" spans="1:7" x14ac:dyDescent="0.2">
      <c r="A688" s="44"/>
      <c r="B688" s="44"/>
      <c r="C688" s="44"/>
      <c r="D688" s="44"/>
      <c r="E688" s="44"/>
      <c r="F688" s="44"/>
      <c r="G688" s="44"/>
    </row>
    <row r="689" spans="1:7" x14ac:dyDescent="0.2">
      <c r="A689" s="43"/>
      <c r="B689" s="43"/>
      <c r="C689" s="43"/>
      <c r="D689" s="43"/>
      <c r="E689" s="43"/>
      <c r="F689" s="43"/>
      <c r="G689" s="43"/>
    </row>
    <row r="690" spans="1:7" x14ac:dyDescent="0.2">
      <c r="A690" s="44"/>
      <c r="B690" s="44"/>
      <c r="C690" s="44"/>
      <c r="D690" s="44"/>
      <c r="E690" s="44"/>
      <c r="F690" s="44"/>
      <c r="G690" s="44"/>
    </row>
    <row r="691" spans="1:7" x14ac:dyDescent="0.2">
      <c r="A691" s="43"/>
      <c r="B691" s="43"/>
      <c r="C691" s="43"/>
      <c r="D691" s="43"/>
      <c r="E691" s="43"/>
      <c r="F691" s="43"/>
      <c r="G691" s="43"/>
    </row>
    <row r="692" spans="1:7" x14ac:dyDescent="0.2">
      <c r="A692" s="44"/>
      <c r="B692" s="44"/>
      <c r="C692" s="44"/>
      <c r="D692" s="44"/>
      <c r="E692" s="44"/>
      <c r="F692" s="44"/>
      <c r="G692" s="44"/>
    </row>
    <row r="693" spans="1:7" x14ac:dyDescent="0.2">
      <c r="A693" s="43"/>
      <c r="B693" s="43"/>
      <c r="C693" s="43"/>
      <c r="D693" s="43"/>
      <c r="E693" s="43"/>
      <c r="F693" s="43"/>
      <c r="G693" s="43"/>
    </row>
    <row r="694" spans="1:7" x14ac:dyDescent="0.2">
      <c r="A694" s="44"/>
      <c r="B694" s="44"/>
      <c r="C694" s="44"/>
      <c r="D694" s="44"/>
      <c r="E694" s="44"/>
      <c r="F694" s="44"/>
      <c r="G694" s="44"/>
    </row>
    <row r="695" spans="1:7" x14ac:dyDescent="0.2">
      <c r="A695" s="43"/>
      <c r="B695" s="43"/>
      <c r="C695" s="43"/>
      <c r="D695" s="43"/>
      <c r="E695" s="43"/>
      <c r="F695" s="43"/>
      <c r="G695" s="43"/>
    </row>
    <row r="696" spans="1:7" x14ac:dyDescent="0.2">
      <c r="A696" s="44"/>
      <c r="B696" s="44"/>
      <c r="C696" s="44"/>
      <c r="D696" s="44"/>
      <c r="E696" s="44"/>
      <c r="F696" s="44"/>
      <c r="G696" s="44"/>
    </row>
    <row r="697" spans="1:7" x14ac:dyDescent="0.2">
      <c r="A697" s="43"/>
      <c r="B697" s="43"/>
      <c r="C697" s="43"/>
      <c r="D697" s="43"/>
      <c r="E697" s="43"/>
      <c r="F697" s="43"/>
      <c r="G697" s="43"/>
    </row>
    <row r="698" spans="1:7" x14ac:dyDescent="0.2">
      <c r="A698" s="44"/>
      <c r="B698" s="44"/>
      <c r="C698" s="44"/>
      <c r="D698" s="44"/>
      <c r="E698" s="44"/>
      <c r="F698" s="44"/>
      <c r="G698" s="44"/>
    </row>
    <row r="699" spans="1:7" x14ac:dyDescent="0.2">
      <c r="A699" s="43"/>
      <c r="B699" s="43"/>
      <c r="C699" s="43"/>
      <c r="D699" s="43"/>
      <c r="E699" s="43"/>
      <c r="F699" s="43"/>
      <c r="G699" s="43"/>
    </row>
    <row r="700" spans="1:7" x14ac:dyDescent="0.2">
      <c r="A700" s="44"/>
      <c r="B700" s="44"/>
      <c r="C700" s="44"/>
      <c r="D700" s="44"/>
      <c r="E700" s="44"/>
      <c r="F700" s="44"/>
      <c r="G700" s="44"/>
    </row>
    <row r="701" spans="1:7" x14ac:dyDescent="0.2">
      <c r="A701" s="43"/>
      <c r="B701" s="43"/>
      <c r="C701" s="43"/>
      <c r="D701" s="43"/>
      <c r="E701" s="43"/>
      <c r="F701" s="43"/>
      <c r="G701" s="43"/>
    </row>
    <row r="702" spans="1:7" x14ac:dyDescent="0.2">
      <c r="A702" s="44"/>
      <c r="B702" s="44"/>
      <c r="C702" s="44"/>
      <c r="D702" s="44"/>
      <c r="E702" s="44"/>
      <c r="F702" s="44"/>
      <c r="G702" s="44"/>
    </row>
    <row r="703" spans="1:7" x14ac:dyDescent="0.2">
      <c r="A703" s="43"/>
      <c r="B703" s="43"/>
      <c r="C703" s="43"/>
      <c r="D703" s="43"/>
      <c r="E703" s="43"/>
      <c r="F703" s="43"/>
      <c r="G703" s="43"/>
    </row>
    <row r="704" spans="1:7" x14ac:dyDescent="0.2">
      <c r="A704" s="44"/>
      <c r="B704" s="44"/>
      <c r="C704" s="44"/>
      <c r="D704" s="44"/>
      <c r="E704" s="44"/>
      <c r="F704" s="44"/>
      <c r="G704" s="44"/>
    </row>
    <row r="705" spans="1:7" x14ac:dyDescent="0.2">
      <c r="A705" s="43"/>
      <c r="B705" s="43"/>
      <c r="C705" s="43"/>
      <c r="D705" s="43"/>
      <c r="E705" s="43"/>
      <c r="F705" s="43"/>
      <c r="G705" s="43"/>
    </row>
    <row r="706" spans="1:7" x14ac:dyDescent="0.2">
      <c r="A706" s="44"/>
      <c r="B706" s="44"/>
      <c r="C706" s="44"/>
      <c r="D706" s="44"/>
      <c r="E706" s="44"/>
      <c r="F706" s="44"/>
      <c r="G706" s="44"/>
    </row>
    <row r="707" spans="1:7" x14ac:dyDescent="0.2">
      <c r="A707" s="43"/>
      <c r="B707" s="43"/>
      <c r="C707" s="43"/>
      <c r="D707" s="43"/>
      <c r="E707" s="43"/>
      <c r="F707" s="43"/>
      <c r="G707" s="43"/>
    </row>
    <row r="708" spans="1:7" x14ac:dyDescent="0.2">
      <c r="A708" s="44"/>
      <c r="B708" s="44"/>
      <c r="C708" s="44"/>
      <c r="D708" s="44"/>
      <c r="E708" s="44"/>
      <c r="F708" s="44"/>
      <c r="G708" s="44"/>
    </row>
    <row r="709" spans="1:7" x14ac:dyDescent="0.2">
      <c r="A709" s="43"/>
      <c r="B709" s="43"/>
      <c r="C709" s="43"/>
      <c r="D709" s="43"/>
      <c r="E709" s="43"/>
      <c r="F709" s="43"/>
      <c r="G709" s="43"/>
    </row>
    <row r="710" spans="1:7" x14ac:dyDescent="0.2">
      <c r="A710" s="44"/>
      <c r="B710" s="44"/>
      <c r="C710" s="44"/>
      <c r="D710" s="44"/>
      <c r="E710" s="44"/>
      <c r="F710" s="44"/>
      <c r="G710" s="44"/>
    </row>
    <row r="711" spans="1:7" x14ac:dyDescent="0.2">
      <c r="A711" s="43"/>
      <c r="B711" s="43"/>
      <c r="C711" s="43"/>
      <c r="D711" s="43"/>
      <c r="E711" s="43"/>
      <c r="F711" s="43"/>
      <c r="G711" s="43"/>
    </row>
    <row r="712" spans="1:7" x14ac:dyDescent="0.2">
      <c r="A712" s="44"/>
      <c r="B712" s="44"/>
      <c r="C712" s="44"/>
      <c r="D712" s="44"/>
      <c r="E712" s="44"/>
      <c r="F712" s="44"/>
      <c r="G712" s="44"/>
    </row>
    <row r="713" spans="1:7" x14ac:dyDescent="0.2">
      <c r="A713" s="43"/>
      <c r="B713" s="43"/>
      <c r="C713" s="43"/>
      <c r="D713" s="43"/>
      <c r="E713" s="43"/>
      <c r="F713" s="43"/>
      <c r="G713" s="43"/>
    </row>
    <row r="714" spans="1:7" x14ac:dyDescent="0.2">
      <c r="A714" s="44"/>
      <c r="B714" s="44"/>
      <c r="C714" s="44"/>
      <c r="D714" s="44"/>
      <c r="E714" s="44"/>
      <c r="F714" s="44"/>
      <c r="G714" s="44"/>
    </row>
    <row r="715" spans="1:7" x14ac:dyDescent="0.2">
      <c r="A715" s="43"/>
      <c r="B715" s="43"/>
      <c r="C715" s="43"/>
      <c r="D715" s="43"/>
      <c r="E715" s="43"/>
      <c r="F715" s="43"/>
      <c r="G715" s="43"/>
    </row>
    <row r="716" spans="1:7" x14ac:dyDescent="0.2">
      <c r="A716" s="44"/>
      <c r="B716" s="44"/>
      <c r="C716" s="44"/>
      <c r="D716" s="44"/>
      <c r="E716" s="44"/>
      <c r="F716" s="44"/>
      <c r="G716" s="44"/>
    </row>
    <row r="717" spans="1:7" x14ac:dyDescent="0.2">
      <c r="A717" s="43"/>
      <c r="B717" s="43"/>
      <c r="C717" s="43"/>
      <c r="D717" s="43"/>
      <c r="E717" s="43"/>
      <c r="F717" s="43"/>
      <c r="G717" s="43"/>
    </row>
    <row r="718" spans="1:7" x14ac:dyDescent="0.2">
      <c r="A718" s="44"/>
      <c r="B718" s="44"/>
      <c r="C718" s="44"/>
      <c r="D718" s="44"/>
      <c r="E718" s="44"/>
      <c r="F718" s="44"/>
      <c r="G718" s="44"/>
    </row>
    <row r="719" spans="1:7" x14ac:dyDescent="0.2">
      <c r="A719" s="43"/>
      <c r="B719" s="43"/>
      <c r="C719" s="43"/>
      <c r="D719" s="43"/>
      <c r="E719" s="43"/>
      <c r="F719" s="43"/>
      <c r="G719" s="43"/>
    </row>
    <row r="720" spans="1:7" x14ac:dyDescent="0.2">
      <c r="A720" s="44"/>
      <c r="B720" s="44"/>
      <c r="C720" s="44"/>
      <c r="D720" s="44"/>
      <c r="E720" s="44"/>
      <c r="F720" s="44"/>
      <c r="G720" s="44"/>
    </row>
    <row r="721" spans="1:7" x14ac:dyDescent="0.2">
      <c r="A721" s="43"/>
      <c r="B721" s="43"/>
      <c r="C721" s="43"/>
      <c r="D721" s="43"/>
      <c r="E721" s="43"/>
      <c r="F721" s="43"/>
      <c r="G721" s="43"/>
    </row>
    <row r="722" spans="1:7" x14ac:dyDescent="0.2">
      <c r="A722" s="44"/>
      <c r="B722" s="44"/>
      <c r="C722" s="44"/>
      <c r="D722" s="44"/>
      <c r="E722" s="44"/>
      <c r="F722" s="44"/>
      <c r="G722" s="44"/>
    </row>
    <row r="723" spans="1:7" x14ac:dyDescent="0.2">
      <c r="A723" s="43"/>
      <c r="B723" s="43"/>
      <c r="C723" s="43"/>
      <c r="D723" s="43"/>
      <c r="E723" s="43"/>
      <c r="F723" s="43"/>
      <c r="G723" s="43"/>
    </row>
    <row r="724" spans="1:7" x14ac:dyDescent="0.2">
      <c r="A724" s="44"/>
      <c r="B724" s="44"/>
      <c r="C724" s="44"/>
      <c r="D724" s="44"/>
      <c r="E724" s="44"/>
      <c r="F724" s="44"/>
      <c r="G724" s="44"/>
    </row>
    <row r="725" spans="1:7" x14ac:dyDescent="0.2">
      <c r="A725" s="43"/>
      <c r="B725" s="43"/>
      <c r="C725" s="43"/>
      <c r="D725" s="43"/>
      <c r="E725" s="43"/>
      <c r="F725" s="43"/>
      <c r="G725" s="43"/>
    </row>
    <row r="726" spans="1:7" x14ac:dyDescent="0.2">
      <c r="A726" s="44"/>
      <c r="B726" s="44"/>
      <c r="C726" s="44"/>
      <c r="D726" s="44"/>
      <c r="E726" s="44"/>
      <c r="F726" s="44"/>
      <c r="G726" s="44"/>
    </row>
    <row r="727" spans="1:7" x14ac:dyDescent="0.2">
      <c r="A727" s="43"/>
      <c r="B727" s="43"/>
      <c r="C727" s="43"/>
      <c r="D727" s="43"/>
      <c r="E727" s="43"/>
      <c r="F727" s="43"/>
      <c r="G727" s="43"/>
    </row>
    <row r="728" spans="1:7" x14ac:dyDescent="0.2">
      <c r="A728" s="44"/>
      <c r="B728" s="44"/>
      <c r="C728" s="44"/>
      <c r="D728" s="44"/>
      <c r="E728" s="44"/>
      <c r="F728" s="44"/>
      <c r="G728" s="44"/>
    </row>
    <row r="729" spans="1:7" x14ac:dyDescent="0.2">
      <c r="A729" s="43"/>
      <c r="B729" s="43"/>
      <c r="C729" s="43"/>
      <c r="D729" s="43"/>
      <c r="E729" s="43"/>
      <c r="F729" s="43"/>
      <c r="G729" s="43"/>
    </row>
    <row r="730" spans="1:7" x14ac:dyDescent="0.2">
      <c r="A730" s="44"/>
      <c r="B730" s="44"/>
      <c r="C730" s="44"/>
      <c r="D730" s="44"/>
      <c r="E730" s="44"/>
      <c r="F730" s="44"/>
      <c r="G730" s="44"/>
    </row>
    <row r="731" spans="1:7" x14ac:dyDescent="0.2">
      <c r="A731" s="43"/>
      <c r="B731" s="43"/>
      <c r="C731" s="43"/>
      <c r="D731" s="43"/>
      <c r="E731" s="43"/>
      <c r="F731" s="43"/>
      <c r="G731" s="43"/>
    </row>
    <row r="732" spans="1:7" x14ac:dyDescent="0.2">
      <c r="A732" s="44"/>
      <c r="B732" s="44"/>
      <c r="C732" s="44"/>
      <c r="D732" s="44"/>
      <c r="E732" s="44"/>
      <c r="F732" s="44"/>
      <c r="G732" s="44"/>
    </row>
    <row r="733" spans="1:7" x14ac:dyDescent="0.2">
      <c r="A733" s="43"/>
      <c r="B733" s="43"/>
      <c r="C733" s="43"/>
      <c r="D733" s="43"/>
      <c r="E733" s="43"/>
      <c r="F733" s="43"/>
      <c r="G733" s="43"/>
    </row>
    <row r="734" spans="1:7" x14ac:dyDescent="0.2">
      <c r="A734" s="44"/>
      <c r="B734" s="44"/>
      <c r="C734" s="44"/>
      <c r="D734" s="44"/>
      <c r="E734" s="44"/>
      <c r="F734" s="44"/>
      <c r="G734" s="44"/>
    </row>
    <row r="735" spans="1:7" x14ac:dyDescent="0.2">
      <c r="A735" s="43"/>
      <c r="B735" s="43"/>
      <c r="C735" s="43"/>
      <c r="D735" s="43"/>
      <c r="E735" s="43"/>
      <c r="F735" s="43"/>
      <c r="G735" s="43"/>
    </row>
    <row r="736" spans="1:7" x14ac:dyDescent="0.2">
      <c r="A736" s="44"/>
      <c r="B736" s="44"/>
      <c r="C736" s="44"/>
      <c r="D736" s="44"/>
      <c r="E736" s="44"/>
      <c r="F736" s="44"/>
      <c r="G736" s="44"/>
    </row>
    <row r="737" spans="1:7" x14ac:dyDescent="0.2">
      <c r="A737" s="43"/>
      <c r="B737" s="43"/>
      <c r="C737" s="43"/>
      <c r="D737" s="43"/>
      <c r="E737" s="43"/>
      <c r="F737" s="43"/>
      <c r="G737" s="43"/>
    </row>
    <row r="738" spans="1:7" x14ac:dyDescent="0.2">
      <c r="A738" s="44"/>
      <c r="B738" s="44"/>
      <c r="C738" s="44"/>
      <c r="D738" s="44"/>
      <c r="E738" s="44"/>
      <c r="F738" s="44"/>
      <c r="G738" s="44"/>
    </row>
    <row r="739" spans="1:7" x14ac:dyDescent="0.2">
      <c r="A739" s="43"/>
      <c r="B739" s="43"/>
      <c r="C739" s="43"/>
      <c r="D739" s="43"/>
      <c r="E739" s="43"/>
      <c r="F739" s="43"/>
      <c r="G739" s="43"/>
    </row>
    <row r="740" spans="1:7" x14ac:dyDescent="0.2">
      <c r="A740" s="44"/>
      <c r="B740" s="44"/>
      <c r="C740" s="44"/>
      <c r="D740" s="44"/>
      <c r="E740" s="44"/>
      <c r="F740" s="44"/>
      <c r="G740" s="44"/>
    </row>
    <row r="741" spans="1:7" x14ac:dyDescent="0.2">
      <c r="A741" s="43"/>
      <c r="B741" s="43"/>
      <c r="C741" s="43"/>
      <c r="D741" s="43"/>
      <c r="E741" s="43"/>
      <c r="F741" s="43"/>
      <c r="G741" s="43"/>
    </row>
    <row r="742" spans="1:7" x14ac:dyDescent="0.2">
      <c r="A742" s="44"/>
      <c r="B742" s="44"/>
      <c r="C742" s="44"/>
      <c r="D742" s="44"/>
      <c r="E742" s="44"/>
      <c r="F742" s="44"/>
      <c r="G742" s="44"/>
    </row>
    <row r="743" spans="1:7" x14ac:dyDescent="0.2">
      <c r="A743" s="43"/>
      <c r="B743" s="43"/>
      <c r="C743" s="43"/>
      <c r="D743" s="43"/>
      <c r="E743" s="43"/>
      <c r="F743" s="43"/>
      <c r="G743" s="43"/>
    </row>
    <row r="744" spans="1:7" x14ac:dyDescent="0.2">
      <c r="A744" s="44"/>
      <c r="B744" s="44"/>
      <c r="C744" s="44"/>
      <c r="D744" s="44"/>
      <c r="E744" s="44"/>
      <c r="F744" s="44"/>
      <c r="G744" s="44"/>
    </row>
    <row r="745" spans="1:7" x14ac:dyDescent="0.2">
      <c r="A745" s="43"/>
      <c r="B745" s="43"/>
      <c r="C745" s="43"/>
      <c r="D745" s="43"/>
      <c r="E745" s="43"/>
      <c r="F745" s="43"/>
      <c r="G745" s="43"/>
    </row>
    <row r="746" spans="1:7" x14ac:dyDescent="0.2">
      <c r="A746" s="44"/>
      <c r="B746" s="44"/>
      <c r="C746" s="44"/>
      <c r="D746" s="44"/>
      <c r="E746" s="44"/>
      <c r="F746" s="44"/>
      <c r="G746" s="44"/>
    </row>
    <row r="747" spans="1:7" x14ac:dyDescent="0.2">
      <c r="A747" s="43"/>
      <c r="B747" s="43"/>
      <c r="C747" s="43"/>
      <c r="D747" s="43"/>
      <c r="E747" s="43"/>
      <c r="F747" s="43"/>
      <c r="G747" s="43"/>
    </row>
    <row r="748" spans="1:7" x14ac:dyDescent="0.2">
      <c r="A748" s="44"/>
      <c r="B748" s="44"/>
      <c r="C748" s="44"/>
      <c r="D748" s="44"/>
      <c r="E748" s="44"/>
      <c r="F748" s="44"/>
      <c r="G748" s="44"/>
    </row>
    <row r="749" spans="1:7" x14ac:dyDescent="0.2">
      <c r="A749" s="43"/>
      <c r="B749" s="43"/>
      <c r="C749" s="43"/>
      <c r="D749" s="43"/>
      <c r="E749" s="43"/>
      <c r="F749" s="43"/>
      <c r="G749" s="43"/>
    </row>
    <row r="750" spans="1:7" x14ac:dyDescent="0.2">
      <c r="A750" s="44"/>
      <c r="B750" s="44"/>
      <c r="C750" s="44"/>
      <c r="D750" s="44"/>
      <c r="E750" s="44"/>
      <c r="F750" s="44"/>
      <c r="G750" s="44"/>
    </row>
    <row r="751" spans="1:7" x14ac:dyDescent="0.2">
      <c r="A751" s="43"/>
      <c r="B751" s="43"/>
      <c r="C751" s="43"/>
      <c r="D751" s="43"/>
      <c r="E751" s="43"/>
      <c r="F751" s="43"/>
      <c r="G751" s="43"/>
    </row>
    <row r="752" spans="1:7" x14ac:dyDescent="0.2">
      <c r="A752" s="44"/>
      <c r="B752" s="44"/>
      <c r="C752" s="44"/>
      <c r="D752" s="44"/>
      <c r="E752" s="44"/>
      <c r="F752" s="44"/>
      <c r="G752" s="44"/>
    </row>
    <row r="753" spans="1:7" x14ac:dyDescent="0.2">
      <c r="A753" s="43"/>
      <c r="B753" s="43"/>
      <c r="C753" s="43"/>
      <c r="D753" s="43"/>
      <c r="E753" s="43"/>
      <c r="F753" s="43"/>
      <c r="G753" s="43"/>
    </row>
    <row r="754" spans="1:7" x14ac:dyDescent="0.2">
      <c r="A754" s="44"/>
      <c r="B754" s="44"/>
      <c r="C754" s="44"/>
      <c r="D754" s="44"/>
      <c r="E754" s="44"/>
      <c r="F754" s="44"/>
      <c r="G754" s="44"/>
    </row>
    <row r="755" spans="1:7" x14ac:dyDescent="0.2">
      <c r="A755" s="43"/>
      <c r="B755" s="43"/>
      <c r="C755" s="43"/>
      <c r="D755" s="43"/>
      <c r="E755" s="43"/>
      <c r="F755" s="43"/>
      <c r="G755" s="43"/>
    </row>
    <row r="756" spans="1:7" x14ac:dyDescent="0.2">
      <c r="A756" s="44"/>
      <c r="B756" s="44"/>
      <c r="C756" s="44"/>
      <c r="D756" s="44"/>
      <c r="E756" s="44"/>
      <c r="F756" s="44"/>
      <c r="G756" s="44"/>
    </row>
    <row r="757" spans="1:7" x14ac:dyDescent="0.2">
      <c r="A757" s="43"/>
      <c r="B757" s="43"/>
      <c r="C757" s="43"/>
      <c r="D757" s="43"/>
      <c r="E757" s="43"/>
      <c r="F757" s="43"/>
      <c r="G757" s="43"/>
    </row>
    <row r="758" spans="1:7" x14ac:dyDescent="0.2">
      <c r="A758" s="44"/>
      <c r="B758" s="44"/>
      <c r="C758" s="44"/>
      <c r="D758" s="44"/>
      <c r="E758" s="44"/>
      <c r="F758" s="44"/>
      <c r="G758" s="44"/>
    </row>
    <row r="759" spans="1:7" x14ac:dyDescent="0.2">
      <c r="A759" s="43"/>
      <c r="B759" s="43"/>
      <c r="C759" s="43"/>
      <c r="D759" s="43"/>
      <c r="E759" s="43"/>
      <c r="F759" s="43"/>
      <c r="G759" s="43"/>
    </row>
    <row r="760" spans="1:7" x14ac:dyDescent="0.2">
      <c r="A760" s="44"/>
      <c r="B760" s="44"/>
      <c r="C760" s="44"/>
      <c r="D760" s="44"/>
      <c r="E760" s="44"/>
      <c r="F760" s="44"/>
      <c r="G760" s="44"/>
    </row>
    <row r="761" spans="1:7" x14ac:dyDescent="0.2">
      <c r="A761" s="43"/>
      <c r="B761" s="43"/>
      <c r="C761" s="43"/>
      <c r="D761" s="43"/>
      <c r="E761" s="43"/>
      <c r="F761" s="43"/>
      <c r="G761" s="43"/>
    </row>
    <row r="762" spans="1:7" x14ac:dyDescent="0.2">
      <c r="A762" s="44"/>
      <c r="B762" s="44"/>
      <c r="C762" s="44"/>
      <c r="D762" s="44"/>
      <c r="E762" s="44"/>
      <c r="F762" s="44"/>
      <c r="G762" s="44"/>
    </row>
    <row r="763" spans="1:7" x14ac:dyDescent="0.2">
      <c r="A763" s="43"/>
      <c r="B763" s="43"/>
      <c r="C763" s="43"/>
      <c r="D763" s="43"/>
      <c r="E763" s="43"/>
      <c r="F763" s="43"/>
      <c r="G763" s="43"/>
    </row>
    <row r="764" spans="1:7" x14ac:dyDescent="0.2">
      <c r="A764" s="44"/>
      <c r="B764" s="44"/>
      <c r="C764" s="44"/>
      <c r="D764" s="44"/>
      <c r="E764" s="44"/>
      <c r="F764" s="44"/>
      <c r="G764" s="44"/>
    </row>
    <row r="765" spans="1:7" x14ac:dyDescent="0.2">
      <c r="A765" s="43"/>
      <c r="B765" s="43"/>
      <c r="C765" s="43"/>
      <c r="D765" s="43"/>
      <c r="E765" s="43"/>
      <c r="F765" s="43"/>
      <c r="G765" s="43"/>
    </row>
    <row r="766" spans="1:7" x14ac:dyDescent="0.2">
      <c r="A766" s="44"/>
      <c r="B766" s="44"/>
      <c r="C766" s="44"/>
      <c r="D766" s="44"/>
      <c r="E766" s="44"/>
      <c r="F766" s="44"/>
      <c r="G766" s="44"/>
    </row>
    <row r="767" spans="1:7" x14ac:dyDescent="0.2">
      <c r="A767" s="43"/>
      <c r="B767" s="43"/>
      <c r="C767" s="43"/>
      <c r="D767" s="43"/>
      <c r="E767" s="43"/>
      <c r="F767" s="43"/>
      <c r="G767" s="43"/>
    </row>
    <row r="768" spans="1:7" x14ac:dyDescent="0.2">
      <c r="A768" s="44"/>
      <c r="B768" s="44"/>
      <c r="C768" s="44"/>
      <c r="D768" s="44"/>
      <c r="E768" s="44"/>
      <c r="F768" s="44"/>
      <c r="G768" s="44"/>
    </row>
    <row r="769" spans="1:7" x14ac:dyDescent="0.2">
      <c r="A769" s="43"/>
      <c r="B769" s="43"/>
      <c r="C769" s="43"/>
      <c r="D769" s="43"/>
      <c r="E769" s="43"/>
      <c r="F769" s="43"/>
      <c r="G769" s="43"/>
    </row>
    <row r="770" spans="1:7" x14ac:dyDescent="0.2">
      <c r="A770" s="44"/>
      <c r="B770" s="44"/>
      <c r="C770" s="44"/>
      <c r="D770" s="44"/>
      <c r="E770" s="44"/>
      <c r="F770" s="44"/>
      <c r="G770" s="44"/>
    </row>
    <row r="771" spans="1:7" x14ac:dyDescent="0.2">
      <c r="A771" s="43"/>
      <c r="B771" s="43"/>
      <c r="C771" s="43"/>
      <c r="D771" s="43"/>
      <c r="E771" s="43"/>
      <c r="F771" s="43"/>
      <c r="G771" s="43"/>
    </row>
    <row r="772" spans="1:7" x14ac:dyDescent="0.2">
      <c r="A772" s="44"/>
      <c r="B772" s="44"/>
      <c r="C772" s="44"/>
      <c r="D772" s="44"/>
      <c r="E772" s="44"/>
      <c r="F772" s="44"/>
      <c r="G772" s="44"/>
    </row>
    <row r="773" spans="1:7" x14ac:dyDescent="0.2">
      <c r="A773" s="43"/>
      <c r="B773" s="43"/>
      <c r="C773" s="43"/>
      <c r="D773" s="43"/>
      <c r="E773" s="43"/>
      <c r="F773" s="43"/>
      <c r="G773" s="43"/>
    </row>
    <row r="774" spans="1:7" x14ac:dyDescent="0.2">
      <c r="A774" s="44"/>
      <c r="B774" s="44"/>
      <c r="C774" s="44"/>
      <c r="D774" s="44"/>
      <c r="E774" s="44"/>
      <c r="F774" s="44"/>
      <c r="G774" s="44"/>
    </row>
    <row r="775" spans="1:7" x14ac:dyDescent="0.2">
      <c r="A775" s="43"/>
      <c r="B775" s="43"/>
      <c r="C775" s="43"/>
      <c r="D775" s="43"/>
      <c r="E775" s="43"/>
      <c r="F775" s="43"/>
      <c r="G775" s="43"/>
    </row>
    <row r="776" spans="1:7" x14ac:dyDescent="0.2">
      <c r="A776" s="44"/>
      <c r="B776" s="44"/>
      <c r="C776" s="44"/>
      <c r="D776" s="44"/>
      <c r="E776" s="44"/>
      <c r="F776" s="44"/>
      <c r="G776" s="44"/>
    </row>
    <row r="777" spans="1:7" x14ac:dyDescent="0.2">
      <c r="A777" s="43"/>
      <c r="B777" s="43"/>
      <c r="C777" s="43"/>
      <c r="D777" s="43"/>
      <c r="E777" s="43"/>
      <c r="F777" s="43"/>
      <c r="G777" s="43"/>
    </row>
    <row r="778" spans="1:7" x14ac:dyDescent="0.2">
      <c r="A778" s="44"/>
      <c r="B778" s="44"/>
      <c r="C778" s="44"/>
      <c r="D778" s="44"/>
      <c r="E778" s="44"/>
      <c r="F778" s="44"/>
      <c r="G778" s="44"/>
    </row>
    <row r="779" spans="1:7" x14ac:dyDescent="0.2">
      <c r="A779" s="43"/>
      <c r="B779" s="43"/>
      <c r="C779" s="43"/>
      <c r="D779" s="43"/>
      <c r="E779" s="43"/>
      <c r="F779" s="43"/>
      <c r="G779" s="43"/>
    </row>
    <row r="780" spans="1:7" x14ac:dyDescent="0.2">
      <c r="A780" s="44"/>
      <c r="B780" s="44"/>
      <c r="C780" s="44"/>
      <c r="D780" s="44"/>
      <c r="E780" s="44"/>
      <c r="F780" s="44"/>
      <c r="G780" s="44"/>
    </row>
    <row r="781" spans="1:7" x14ac:dyDescent="0.2">
      <c r="A781" s="43"/>
      <c r="B781" s="43"/>
      <c r="C781" s="43"/>
      <c r="D781" s="43"/>
      <c r="E781" s="43"/>
      <c r="F781" s="43"/>
      <c r="G781" s="43"/>
    </row>
    <row r="782" spans="1:7" x14ac:dyDescent="0.2">
      <c r="A782" s="44"/>
      <c r="B782" s="44"/>
      <c r="C782" s="44"/>
      <c r="D782" s="44"/>
      <c r="E782" s="44"/>
      <c r="F782" s="44"/>
      <c r="G782" s="44"/>
    </row>
    <row r="783" spans="1:7" x14ac:dyDescent="0.2">
      <c r="A783" s="43"/>
      <c r="B783" s="43"/>
      <c r="C783" s="43"/>
      <c r="D783" s="43"/>
      <c r="E783" s="43"/>
      <c r="F783" s="43"/>
      <c r="G783" s="43"/>
    </row>
    <row r="784" spans="1:7" x14ac:dyDescent="0.2">
      <c r="A784" s="44"/>
      <c r="B784" s="44"/>
      <c r="C784" s="44"/>
      <c r="D784" s="44"/>
      <c r="E784" s="44"/>
      <c r="F784" s="44"/>
      <c r="G784" s="44"/>
    </row>
    <row r="785" spans="1:7" x14ac:dyDescent="0.2">
      <c r="A785" s="43"/>
      <c r="B785" s="43"/>
      <c r="C785" s="43"/>
      <c r="D785" s="43"/>
      <c r="E785" s="43"/>
      <c r="F785" s="43"/>
      <c r="G785" s="43"/>
    </row>
    <row r="786" spans="1:7" x14ac:dyDescent="0.2">
      <c r="A786" s="44"/>
      <c r="B786" s="44"/>
      <c r="C786" s="44"/>
      <c r="D786" s="44"/>
      <c r="E786" s="44"/>
      <c r="F786" s="44"/>
      <c r="G786" s="44"/>
    </row>
    <row r="787" spans="1:7" x14ac:dyDescent="0.2">
      <c r="A787" s="43"/>
      <c r="B787" s="43"/>
      <c r="C787" s="43"/>
      <c r="D787" s="43"/>
      <c r="E787" s="43"/>
      <c r="F787" s="43"/>
      <c r="G787" s="43"/>
    </row>
    <row r="788" spans="1:7" x14ac:dyDescent="0.2">
      <c r="A788" s="44"/>
      <c r="B788" s="44"/>
      <c r="C788" s="44"/>
      <c r="D788" s="44"/>
      <c r="E788" s="44"/>
      <c r="F788" s="44"/>
      <c r="G788" s="44"/>
    </row>
    <row r="789" spans="1:7" x14ac:dyDescent="0.2">
      <c r="A789" s="43"/>
      <c r="B789" s="43"/>
      <c r="C789" s="43"/>
      <c r="D789" s="43"/>
      <c r="E789" s="43"/>
      <c r="F789" s="43"/>
      <c r="G789" s="43"/>
    </row>
    <row r="790" spans="1:7" x14ac:dyDescent="0.2">
      <c r="A790" s="44"/>
      <c r="B790" s="44"/>
      <c r="C790" s="44"/>
      <c r="D790" s="44"/>
      <c r="E790" s="44"/>
      <c r="F790" s="44"/>
      <c r="G790" s="44"/>
    </row>
    <row r="791" spans="1:7" x14ac:dyDescent="0.2">
      <c r="A791" s="43"/>
      <c r="B791" s="43"/>
      <c r="C791" s="43"/>
      <c r="D791" s="43"/>
      <c r="E791" s="43"/>
      <c r="F791" s="43"/>
      <c r="G791" s="43"/>
    </row>
    <row r="792" spans="1:7" x14ac:dyDescent="0.2">
      <c r="A792" s="44"/>
      <c r="B792" s="44"/>
      <c r="C792" s="44"/>
      <c r="D792" s="44"/>
      <c r="E792" s="44"/>
      <c r="F792" s="44"/>
      <c r="G792" s="44"/>
    </row>
    <row r="793" spans="1:7" x14ac:dyDescent="0.2">
      <c r="A793" s="43"/>
      <c r="B793" s="43"/>
      <c r="C793" s="43"/>
      <c r="D793" s="43"/>
      <c r="E793" s="43"/>
      <c r="F793" s="43"/>
      <c r="G793" s="43"/>
    </row>
    <row r="794" spans="1:7" x14ac:dyDescent="0.2">
      <c r="A794" s="44"/>
      <c r="B794" s="44"/>
      <c r="C794" s="44"/>
      <c r="D794" s="44"/>
      <c r="E794" s="44"/>
      <c r="F794" s="44"/>
      <c r="G794" s="44"/>
    </row>
    <row r="795" spans="1:7" x14ac:dyDescent="0.2">
      <c r="A795" s="43"/>
      <c r="B795" s="43"/>
      <c r="C795" s="43"/>
      <c r="D795" s="43"/>
      <c r="E795" s="43"/>
      <c r="F795" s="43"/>
      <c r="G795" s="43"/>
    </row>
    <row r="796" spans="1:7" x14ac:dyDescent="0.2">
      <c r="A796" s="44"/>
      <c r="B796" s="44"/>
      <c r="C796" s="44"/>
      <c r="D796" s="44"/>
      <c r="E796" s="44"/>
      <c r="F796" s="44"/>
      <c r="G796" s="44"/>
    </row>
    <row r="797" spans="1:7" x14ac:dyDescent="0.2">
      <c r="A797" s="43"/>
      <c r="B797" s="43"/>
      <c r="C797" s="43"/>
      <c r="D797" s="43"/>
      <c r="E797" s="43"/>
      <c r="F797" s="43"/>
      <c r="G797" s="43"/>
    </row>
    <row r="798" spans="1:7" x14ac:dyDescent="0.2">
      <c r="A798" s="44"/>
      <c r="B798" s="44"/>
      <c r="C798" s="44"/>
      <c r="D798" s="44"/>
      <c r="E798" s="44"/>
      <c r="F798" s="44"/>
      <c r="G798" s="44"/>
    </row>
    <row r="799" spans="1:7" x14ac:dyDescent="0.2">
      <c r="A799" s="43"/>
      <c r="B799" s="43"/>
      <c r="C799" s="43"/>
      <c r="D799" s="43"/>
      <c r="E799" s="43"/>
      <c r="F799" s="43"/>
      <c r="G799" s="43"/>
    </row>
    <row r="800" spans="1:7" x14ac:dyDescent="0.2">
      <c r="A800" s="44"/>
      <c r="B800" s="44"/>
      <c r="C800" s="44"/>
      <c r="D800" s="44"/>
      <c r="E800" s="44"/>
      <c r="F800" s="44"/>
      <c r="G800" s="44"/>
    </row>
    <row r="801" spans="1:7" x14ac:dyDescent="0.2">
      <c r="A801" s="43"/>
      <c r="B801" s="43"/>
      <c r="C801" s="43"/>
      <c r="D801" s="43"/>
      <c r="E801" s="43"/>
      <c r="F801" s="43"/>
      <c r="G801" s="43"/>
    </row>
    <row r="802" spans="1:7" x14ac:dyDescent="0.2">
      <c r="A802" s="44"/>
      <c r="B802" s="44"/>
      <c r="C802" s="44"/>
      <c r="D802" s="44"/>
      <c r="E802" s="44"/>
      <c r="F802" s="44"/>
      <c r="G802" s="44"/>
    </row>
    <row r="803" spans="1:7" x14ac:dyDescent="0.2">
      <c r="A803" s="43"/>
      <c r="B803" s="43"/>
      <c r="C803" s="43"/>
      <c r="D803" s="43"/>
      <c r="E803" s="43"/>
      <c r="F803" s="43"/>
      <c r="G803" s="43"/>
    </row>
    <row r="804" spans="1:7" x14ac:dyDescent="0.2">
      <c r="A804" s="44"/>
      <c r="B804" s="44"/>
      <c r="C804" s="44"/>
      <c r="D804" s="44"/>
      <c r="E804" s="44"/>
      <c r="F804" s="44"/>
      <c r="G804" s="44"/>
    </row>
    <row r="805" spans="1:7" x14ac:dyDescent="0.2">
      <c r="A805" s="43"/>
      <c r="B805" s="43"/>
      <c r="C805" s="43"/>
      <c r="D805" s="43"/>
      <c r="E805" s="43"/>
      <c r="F805" s="43"/>
      <c r="G805" s="43"/>
    </row>
    <row r="806" spans="1:7" x14ac:dyDescent="0.2">
      <c r="A806" s="44"/>
      <c r="B806" s="44"/>
      <c r="C806" s="44"/>
      <c r="D806" s="44"/>
      <c r="E806" s="44"/>
      <c r="F806" s="44"/>
      <c r="G806" s="44"/>
    </row>
    <row r="807" spans="1:7" x14ac:dyDescent="0.2">
      <c r="A807" s="43"/>
      <c r="B807" s="43"/>
      <c r="C807" s="43"/>
      <c r="D807" s="43"/>
      <c r="E807" s="43"/>
      <c r="F807" s="43"/>
      <c r="G807" s="43"/>
    </row>
    <row r="808" spans="1:7" x14ac:dyDescent="0.2">
      <c r="A808" s="44"/>
      <c r="B808" s="44"/>
      <c r="C808" s="44"/>
      <c r="D808" s="44"/>
      <c r="E808" s="44"/>
      <c r="F808" s="44"/>
      <c r="G808" s="44"/>
    </row>
    <row r="809" spans="1:7" x14ac:dyDescent="0.2">
      <c r="A809" s="43"/>
      <c r="B809" s="43"/>
      <c r="C809" s="43"/>
      <c r="D809" s="43"/>
      <c r="E809" s="43"/>
      <c r="F809" s="43"/>
      <c r="G809" s="43"/>
    </row>
    <row r="810" spans="1:7" x14ac:dyDescent="0.2">
      <c r="A810" s="44"/>
      <c r="B810" s="44"/>
      <c r="C810" s="44"/>
      <c r="D810" s="44"/>
      <c r="E810" s="44"/>
      <c r="F810" s="44"/>
      <c r="G810" s="44"/>
    </row>
    <row r="811" spans="1:7" x14ac:dyDescent="0.2">
      <c r="A811" s="43"/>
      <c r="B811" s="43"/>
      <c r="C811" s="43"/>
      <c r="D811" s="43"/>
      <c r="E811" s="43"/>
      <c r="F811" s="43"/>
      <c r="G811" s="43"/>
    </row>
    <row r="812" spans="1:7" x14ac:dyDescent="0.2">
      <c r="A812" s="44"/>
      <c r="B812" s="44"/>
      <c r="C812" s="44"/>
      <c r="D812" s="44"/>
      <c r="E812" s="44"/>
      <c r="F812" s="44"/>
      <c r="G812" s="44"/>
    </row>
    <row r="813" spans="1:7" x14ac:dyDescent="0.2">
      <c r="A813" s="43"/>
      <c r="B813" s="43"/>
      <c r="C813" s="43"/>
      <c r="D813" s="43"/>
      <c r="E813" s="43"/>
      <c r="F813" s="43"/>
      <c r="G813" s="43"/>
    </row>
    <row r="814" spans="1:7" x14ac:dyDescent="0.2">
      <c r="A814" s="44"/>
      <c r="B814" s="44"/>
      <c r="C814" s="44"/>
      <c r="D814" s="44"/>
      <c r="E814" s="44"/>
      <c r="F814" s="44"/>
      <c r="G814" s="44"/>
    </row>
    <row r="815" spans="1:7" x14ac:dyDescent="0.2">
      <c r="A815" s="43"/>
      <c r="B815" s="43"/>
      <c r="C815" s="43"/>
      <c r="D815" s="43"/>
      <c r="E815" s="43"/>
      <c r="F815" s="43"/>
      <c r="G815" s="43"/>
    </row>
    <row r="816" spans="1:7" x14ac:dyDescent="0.2">
      <c r="A816" s="44"/>
      <c r="B816" s="44"/>
      <c r="C816" s="44"/>
      <c r="D816" s="44"/>
      <c r="E816" s="44"/>
      <c r="F816" s="44"/>
      <c r="G816" s="44"/>
    </row>
    <row r="817" spans="1:7" x14ac:dyDescent="0.2">
      <c r="A817" s="43"/>
      <c r="B817" s="43"/>
      <c r="C817" s="43"/>
      <c r="D817" s="43"/>
      <c r="E817" s="43"/>
      <c r="F817" s="43"/>
      <c r="G817" s="43"/>
    </row>
    <row r="818" spans="1:7" x14ac:dyDescent="0.2">
      <c r="A818" s="44"/>
      <c r="B818" s="44"/>
      <c r="C818" s="44"/>
      <c r="D818" s="44"/>
      <c r="E818" s="44"/>
      <c r="F818" s="44"/>
      <c r="G818" s="44"/>
    </row>
    <row r="819" spans="1:7" x14ac:dyDescent="0.2">
      <c r="A819" s="43"/>
      <c r="B819" s="43"/>
      <c r="C819" s="43"/>
      <c r="D819" s="43"/>
      <c r="E819" s="43"/>
      <c r="F819" s="43"/>
      <c r="G819" s="43"/>
    </row>
    <row r="820" spans="1:7" x14ac:dyDescent="0.2">
      <c r="A820" s="44"/>
      <c r="B820" s="44"/>
      <c r="C820" s="44"/>
      <c r="D820" s="44"/>
      <c r="E820" s="44"/>
      <c r="F820" s="44"/>
      <c r="G820" s="44"/>
    </row>
    <row r="821" spans="1:7" x14ac:dyDescent="0.2">
      <c r="A821" s="43"/>
      <c r="B821" s="43"/>
      <c r="C821" s="43"/>
      <c r="D821" s="43"/>
      <c r="E821" s="43"/>
      <c r="F821" s="43"/>
      <c r="G821" s="43"/>
    </row>
    <row r="822" spans="1:7" x14ac:dyDescent="0.2">
      <c r="A822" s="44"/>
      <c r="B822" s="44"/>
      <c r="C822" s="44"/>
      <c r="D822" s="44"/>
      <c r="E822" s="44"/>
      <c r="F822" s="44"/>
      <c r="G822" s="44"/>
    </row>
    <row r="823" spans="1:7" x14ac:dyDescent="0.2">
      <c r="A823" s="43"/>
      <c r="B823" s="43"/>
      <c r="C823" s="43"/>
      <c r="D823" s="43"/>
      <c r="E823" s="43"/>
      <c r="F823" s="43"/>
      <c r="G823" s="43"/>
    </row>
    <row r="824" spans="1:7" x14ac:dyDescent="0.2">
      <c r="A824" s="44"/>
      <c r="B824" s="44"/>
      <c r="C824" s="44"/>
      <c r="D824" s="44"/>
      <c r="E824" s="44"/>
      <c r="F824" s="44"/>
      <c r="G824" s="44"/>
    </row>
    <row r="825" spans="1:7" x14ac:dyDescent="0.2">
      <c r="A825" s="43"/>
      <c r="B825" s="43"/>
      <c r="C825" s="43"/>
      <c r="D825" s="43"/>
      <c r="E825" s="43"/>
      <c r="F825" s="43"/>
      <c r="G825" s="43"/>
    </row>
    <row r="826" spans="1:7" x14ac:dyDescent="0.2">
      <c r="A826" s="44"/>
      <c r="B826" s="44"/>
      <c r="C826" s="44"/>
      <c r="D826" s="44"/>
      <c r="E826" s="44"/>
      <c r="F826" s="44"/>
      <c r="G826" s="44"/>
    </row>
    <row r="827" spans="1:7" x14ac:dyDescent="0.2">
      <c r="A827" s="43"/>
      <c r="B827" s="43"/>
      <c r="C827" s="43"/>
      <c r="D827" s="43"/>
      <c r="E827" s="43"/>
      <c r="F827" s="43"/>
      <c r="G827" s="43"/>
    </row>
    <row r="828" spans="1:7" x14ac:dyDescent="0.2">
      <c r="A828" s="44"/>
      <c r="B828" s="44"/>
      <c r="C828" s="44"/>
      <c r="D828" s="44"/>
      <c r="E828" s="44"/>
      <c r="F828" s="44"/>
      <c r="G828" s="44"/>
    </row>
    <row r="829" spans="1:7" x14ac:dyDescent="0.2">
      <c r="A829" s="43"/>
      <c r="B829" s="43"/>
      <c r="C829" s="43"/>
      <c r="D829" s="43"/>
      <c r="E829" s="43"/>
      <c r="F829" s="43"/>
      <c r="G829" s="43"/>
    </row>
    <row r="830" spans="1:7" x14ac:dyDescent="0.2">
      <c r="A830" s="44"/>
      <c r="B830" s="44"/>
      <c r="C830" s="44"/>
      <c r="D830" s="44"/>
      <c r="E830" s="44"/>
      <c r="F830" s="44"/>
      <c r="G830" s="44"/>
    </row>
    <row r="831" spans="1:7" x14ac:dyDescent="0.2">
      <c r="A831" s="43"/>
      <c r="B831" s="43"/>
      <c r="C831" s="43"/>
      <c r="D831" s="43"/>
      <c r="E831" s="43"/>
      <c r="F831" s="43"/>
      <c r="G831" s="43"/>
    </row>
    <row r="832" spans="1:7" x14ac:dyDescent="0.2">
      <c r="A832" s="44"/>
      <c r="B832" s="44"/>
      <c r="C832" s="44"/>
      <c r="D832" s="44"/>
      <c r="E832" s="44"/>
      <c r="F832" s="44"/>
      <c r="G832" s="44"/>
    </row>
    <row r="833" spans="1:7" x14ac:dyDescent="0.2">
      <c r="A833" s="43"/>
      <c r="B833" s="43"/>
      <c r="C833" s="43"/>
      <c r="D833" s="43"/>
      <c r="E833" s="43"/>
      <c r="F833" s="43"/>
      <c r="G833" s="43"/>
    </row>
    <row r="834" spans="1:7" x14ac:dyDescent="0.2">
      <c r="A834" s="44"/>
      <c r="B834" s="44"/>
      <c r="C834" s="44"/>
      <c r="D834" s="44"/>
      <c r="E834" s="44"/>
      <c r="F834" s="44"/>
      <c r="G834" s="44"/>
    </row>
    <row r="835" spans="1:7" x14ac:dyDescent="0.2">
      <c r="A835" s="43"/>
      <c r="B835" s="43"/>
      <c r="C835" s="43"/>
      <c r="D835" s="43"/>
      <c r="E835" s="43"/>
      <c r="F835" s="43"/>
      <c r="G835" s="43"/>
    </row>
    <row r="836" spans="1:7" x14ac:dyDescent="0.2">
      <c r="A836" s="44"/>
      <c r="B836" s="44"/>
      <c r="C836" s="44"/>
      <c r="D836" s="44"/>
      <c r="E836" s="44"/>
      <c r="F836" s="44"/>
      <c r="G836" s="44"/>
    </row>
    <row r="837" spans="1:7" x14ac:dyDescent="0.2">
      <c r="A837" s="43"/>
      <c r="B837" s="43"/>
      <c r="C837" s="43"/>
      <c r="D837" s="43"/>
      <c r="E837" s="43"/>
      <c r="F837" s="43"/>
      <c r="G837" s="43"/>
    </row>
    <row r="838" spans="1:7" x14ac:dyDescent="0.2">
      <c r="A838" s="44"/>
      <c r="B838" s="44"/>
      <c r="C838" s="44"/>
      <c r="D838" s="44"/>
      <c r="E838" s="44"/>
      <c r="F838" s="44"/>
      <c r="G838" s="44"/>
    </row>
    <row r="839" spans="1:7" x14ac:dyDescent="0.2">
      <c r="A839" s="43"/>
      <c r="B839" s="43"/>
      <c r="C839" s="43"/>
      <c r="D839" s="43"/>
      <c r="E839" s="43"/>
      <c r="F839" s="43"/>
      <c r="G839" s="43"/>
    </row>
    <row r="840" spans="1:7" x14ac:dyDescent="0.2">
      <c r="A840" s="44"/>
      <c r="B840" s="44"/>
      <c r="C840" s="44"/>
      <c r="D840" s="44"/>
      <c r="E840" s="44"/>
      <c r="F840" s="44"/>
      <c r="G840" s="44"/>
    </row>
    <row r="841" spans="1:7" x14ac:dyDescent="0.2">
      <c r="A841" s="43"/>
      <c r="B841" s="43"/>
      <c r="C841" s="43"/>
      <c r="D841" s="43"/>
      <c r="E841" s="43"/>
      <c r="F841" s="43"/>
      <c r="G841" s="43"/>
    </row>
    <row r="842" spans="1:7" x14ac:dyDescent="0.2">
      <c r="A842" s="44"/>
      <c r="B842" s="44"/>
      <c r="C842" s="44"/>
      <c r="D842" s="44"/>
      <c r="E842" s="44"/>
      <c r="F842" s="44"/>
      <c r="G842" s="44"/>
    </row>
    <row r="843" spans="1:7" x14ac:dyDescent="0.2">
      <c r="A843" s="43"/>
      <c r="B843" s="43"/>
      <c r="C843" s="43"/>
      <c r="D843" s="43"/>
      <c r="E843" s="43"/>
      <c r="F843" s="43"/>
      <c r="G843" s="43"/>
    </row>
    <row r="844" spans="1:7" x14ac:dyDescent="0.2">
      <c r="A844" s="44"/>
      <c r="B844" s="44"/>
      <c r="C844" s="44"/>
      <c r="D844" s="44"/>
      <c r="E844" s="44"/>
      <c r="F844" s="44"/>
      <c r="G844" s="44"/>
    </row>
    <row r="845" spans="1:7" x14ac:dyDescent="0.2">
      <c r="A845" s="43"/>
      <c r="B845" s="43"/>
      <c r="C845" s="43"/>
      <c r="D845" s="43"/>
      <c r="E845" s="43"/>
      <c r="F845" s="43"/>
      <c r="G845" s="43"/>
    </row>
    <row r="846" spans="1:7" x14ac:dyDescent="0.2">
      <c r="A846" s="44"/>
      <c r="B846" s="44"/>
      <c r="C846" s="44"/>
      <c r="D846" s="44"/>
      <c r="E846" s="44"/>
      <c r="F846" s="44"/>
      <c r="G846" s="44"/>
    </row>
    <row r="847" spans="1:7" x14ac:dyDescent="0.2">
      <c r="A847" s="43"/>
      <c r="B847" s="43"/>
      <c r="C847" s="43"/>
      <c r="D847" s="43"/>
      <c r="E847" s="43"/>
      <c r="F847" s="43"/>
      <c r="G847" s="43"/>
    </row>
    <row r="848" spans="1:7" x14ac:dyDescent="0.2">
      <c r="A848" s="44"/>
      <c r="B848" s="44"/>
      <c r="C848" s="44"/>
      <c r="D848" s="44"/>
      <c r="E848" s="44"/>
      <c r="F848" s="44"/>
      <c r="G848" s="44"/>
    </row>
    <row r="849" spans="1:7" x14ac:dyDescent="0.2">
      <c r="A849" s="43"/>
      <c r="B849" s="43"/>
      <c r="C849" s="43"/>
      <c r="D849" s="43"/>
      <c r="E849" s="43"/>
      <c r="F849" s="43"/>
      <c r="G849" s="43"/>
    </row>
    <row r="850" spans="1:7" x14ac:dyDescent="0.2">
      <c r="A850" s="44"/>
      <c r="B850" s="44"/>
      <c r="C850" s="44"/>
      <c r="D850" s="44"/>
      <c r="E850" s="44"/>
      <c r="F850" s="44"/>
      <c r="G850" s="44"/>
    </row>
    <row r="851" spans="1:7" x14ac:dyDescent="0.2">
      <c r="A851" s="43"/>
      <c r="B851" s="43"/>
      <c r="C851" s="43"/>
      <c r="D851" s="43"/>
      <c r="E851" s="43"/>
      <c r="F851" s="43"/>
      <c r="G851" s="43"/>
    </row>
    <row r="852" spans="1:7" x14ac:dyDescent="0.2">
      <c r="A852" s="44"/>
      <c r="B852" s="44"/>
      <c r="C852" s="44"/>
      <c r="D852" s="44"/>
      <c r="E852" s="44"/>
      <c r="F852" s="44"/>
      <c r="G852" s="44"/>
    </row>
    <row r="853" spans="1:7" x14ac:dyDescent="0.2">
      <c r="A853" s="43"/>
      <c r="B853" s="43"/>
      <c r="C853" s="43"/>
      <c r="D853" s="43"/>
      <c r="E853" s="43"/>
      <c r="F853" s="43"/>
      <c r="G853" s="43"/>
    </row>
    <row r="854" spans="1:7" x14ac:dyDescent="0.2">
      <c r="A854" s="44"/>
      <c r="B854" s="44"/>
      <c r="C854" s="44"/>
      <c r="D854" s="44"/>
      <c r="E854" s="44"/>
      <c r="F854" s="44"/>
      <c r="G854" s="44"/>
    </row>
    <row r="855" spans="1:7" x14ac:dyDescent="0.2">
      <c r="A855" s="43"/>
      <c r="B855" s="43"/>
      <c r="C855" s="43"/>
      <c r="D855" s="43"/>
      <c r="E855" s="43"/>
      <c r="F855" s="43"/>
      <c r="G855" s="43"/>
    </row>
    <row r="856" spans="1:7" x14ac:dyDescent="0.2">
      <c r="A856" s="44"/>
      <c r="B856" s="44"/>
      <c r="C856" s="44"/>
      <c r="D856" s="44"/>
      <c r="E856" s="44"/>
      <c r="F856" s="44"/>
      <c r="G856" s="44"/>
    </row>
    <row r="857" spans="1:7" x14ac:dyDescent="0.2">
      <c r="A857" s="43"/>
      <c r="B857" s="43"/>
      <c r="C857" s="43"/>
      <c r="D857" s="43"/>
      <c r="E857" s="43"/>
      <c r="F857" s="43"/>
      <c r="G857" s="43"/>
    </row>
    <row r="858" spans="1:7" x14ac:dyDescent="0.2">
      <c r="A858" s="44"/>
      <c r="B858" s="44"/>
      <c r="C858" s="44"/>
      <c r="D858" s="44"/>
      <c r="E858" s="44"/>
      <c r="F858" s="44"/>
      <c r="G858" s="44"/>
    </row>
    <row r="859" spans="1:7" x14ac:dyDescent="0.2">
      <c r="A859" s="43"/>
      <c r="B859" s="43"/>
      <c r="C859" s="43"/>
      <c r="D859" s="43"/>
      <c r="E859" s="43"/>
      <c r="F859" s="43"/>
      <c r="G859" s="43"/>
    </row>
    <row r="860" spans="1:7" x14ac:dyDescent="0.2">
      <c r="A860" s="44"/>
      <c r="B860" s="44"/>
      <c r="C860" s="44"/>
      <c r="D860" s="44"/>
      <c r="E860" s="44"/>
      <c r="F860" s="44"/>
      <c r="G860" s="44"/>
    </row>
    <row r="861" spans="1:7" x14ac:dyDescent="0.2">
      <c r="A861" s="43"/>
      <c r="B861" s="43"/>
      <c r="C861" s="43"/>
      <c r="D861" s="43"/>
      <c r="E861" s="43"/>
      <c r="F861" s="43"/>
      <c r="G861" s="43"/>
    </row>
    <row r="862" spans="1:7" x14ac:dyDescent="0.2">
      <c r="A862" s="44"/>
      <c r="B862" s="44"/>
      <c r="C862" s="44"/>
      <c r="D862" s="44"/>
      <c r="E862" s="44"/>
      <c r="F862" s="44"/>
      <c r="G862" s="44"/>
    </row>
    <row r="863" spans="1:7" x14ac:dyDescent="0.2">
      <c r="A863" s="43"/>
      <c r="B863" s="43"/>
      <c r="C863" s="43"/>
      <c r="D863" s="43"/>
      <c r="E863" s="43"/>
      <c r="F863" s="43"/>
      <c r="G863" s="43"/>
    </row>
    <row r="864" spans="1:7" x14ac:dyDescent="0.2">
      <c r="A864" s="44"/>
      <c r="B864" s="44"/>
      <c r="C864" s="44"/>
      <c r="D864" s="44"/>
      <c r="E864" s="44"/>
      <c r="F864" s="44"/>
      <c r="G864" s="44"/>
    </row>
    <row r="865" spans="1:7" x14ac:dyDescent="0.2">
      <c r="A865" s="43"/>
      <c r="B865" s="43"/>
      <c r="C865" s="43"/>
      <c r="D865" s="43"/>
      <c r="E865" s="43"/>
      <c r="F865" s="43"/>
      <c r="G865" s="43"/>
    </row>
    <row r="866" spans="1:7" x14ac:dyDescent="0.2">
      <c r="A866" s="44"/>
      <c r="B866" s="44"/>
      <c r="C866" s="44"/>
      <c r="D866" s="44"/>
      <c r="E866" s="44"/>
      <c r="F866" s="44"/>
      <c r="G866" s="44"/>
    </row>
    <row r="867" spans="1:7" x14ac:dyDescent="0.2">
      <c r="A867" s="43"/>
      <c r="B867" s="43"/>
      <c r="C867" s="43"/>
      <c r="D867" s="43"/>
      <c r="E867" s="43"/>
      <c r="F867" s="43"/>
      <c r="G867" s="43"/>
    </row>
    <row r="868" spans="1:7" x14ac:dyDescent="0.2">
      <c r="A868" s="44"/>
      <c r="B868" s="44"/>
      <c r="C868" s="44"/>
      <c r="D868" s="44"/>
      <c r="E868" s="44"/>
      <c r="F868" s="44"/>
      <c r="G868" s="44"/>
    </row>
    <row r="869" spans="1:7" x14ac:dyDescent="0.2">
      <c r="A869" s="43"/>
      <c r="B869" s="43"/>
      <c r="C869" s="43"/>
      <c r="D869" s="43"/>
      <c r="E869" s="43"/>
      <c r="F869" s="43"/>
      <c r="G869" s="43"/>
    </row>
    <row r="870" spans="1:7" x14ac:dyDescent="0.2">
      <c r="A870" s="44"/>
      <c r="B870" s="44"/>
      <c r="C870" s="44"/>
      <c r="D870" s="44"/>
      <c r="E870" s="44"/>
      <c r="F870" s="44"/>
      <c r="G870" s="44"/>
    </row>
    <row r="871" spans="1:7" x14ac:dyDescent="0.2">
      <c r="A871" s="43"/>
      <c r="B871" s="43"/>
      <c r="C871" s="43"/>
      <c r="D871" s="43"/>
      <c r="E871" s="43"/>
      <c r="F871" s="43"/>
      <c r="G871" s="43"/>
    </row>
    <row r="872" spans="1:7" x14ac:dyDescent="0.2">
      <c r="A872" s="44"/>
      <c r="B872" s="44"/>
      <c r="C872" s="44"/>
      <c r="D872" s="44"/>
      <c r="E872" s="44"/>
      <c r="F872" s="44"/>
      <c r="G872" s="44"/>
    </row>
    <row r="873" spans="1:7" x14ac:dyDescent="0.2">
      <c r="A873" s="43"/>
      <c r="B873" s="43"/>
      <c r="C873" s="43"/>
      <c r="D873" s="43"/>
      <c r="E873" s="43"/>
      <c r="F873" s="43"/>
      <c r="G873" s="43"/>
    </row>
    <row r="874" spans="1:7" x14ac:dyDescent="0.2">
      <c r="A874" s="44"/>
      <c r="B874" s="44"/>
      <c r="C874" s="44"/>
      <c r="D874" s="44"/>
      <c r="E874" s="44"/>
      <c r="F874" s="44"/>
      <c r="G874" s="44"/>
    </row>
    <row r="875" spans="1:7" x14ac:dyDescent="0.2">
      <c r="A875" s="43"/>
      <c r="B875" s="43"/>
      <c r="C875" s="43"/>
      <c r="D875" s="43"/>
      <c r="E875" s="43"/>
      <c r="F875" s="43"/>
      <c r="G875" s="43"/>
    </row>
    <row r="876" spans="1:7" x14ac:dyDescent="0.2">
      <c r="A876" s="44"/>
      <c r="B876" s="44"/>
      <c r="C876" s="44"/>
      <c r="D876" s="44"/>
      <c r="E876" s="44"/>
      <c r="F876" s="44"/>
      <c r="G876" s="44"/>
    </row>
    <row r="877" spans="1:7" x14ac:dyDescent="0.2">
      <c r="A877" s="43"/>
      <c r="B877" s="43"/>
      <c r="C877" s="43"/>
      <c r="D877" s="43"/>
      <c r="E877" s="43"/>
      <c r="F877" s="43"/>
      <c r="G877" s="43"/>
    </row>
    <row r="878" spans="1:7" x14ac:dyDescent="0.2">
      <c r="A878" s="44"/>
      <c r="B878" s="44"/>
      <c r="C878" s="44"/>
      <c r="D878" s="44"/>
      <c r="E878" s="44"/>
      <c r="F878" s="44"/>
      <c r="G878" s="44"/>
    </row>
    <row r="879" spans="1:7" x14ac:dyDescent="0.2">
      <c r="A879" s="43"/>
      <c r="B879" s="43"/>
      <c r="C879" s="43"/>
      <c r="D879" s="43"/>
      <c r="E879" s="43"/>
      <c r="F879" s="43"/>
      <c r="G879" s="43"/>
    </row>
    <row r="880" spans="1:7" x14ac:dyDescent="0.2">
      <c r="A880" s="44"/>
      <c r="B880" s="44"/>
      <c r="C880" s="44"/>
      <c r="D880" s="44"/>
      <c r="E880" s="44"/>
      <c r="F880" s="44"/>
      <c r="G880" s="44"/>
    </row>
    <row r="881" spans="1:7" x14ac:dyDescent="0.2">
      <c r="A881" s="43"/>
      <c r="B881" s="43"/>
      <c r="C881" s="43"/>
      <c r="D881" s="43"/>
      <c r="E881" s="43"/>
      <c r="F881" s="43"/>
      <c r="G881" s="43"/>
    </row>
    <row r="882" spans="1:7" x14ac:dyDescent="0.2">
      <c r="A882" s="44"/>
      <c r="B882" s="44"/>
      <c r="C882" s="44"/>
      <c r="D882" s="44"/>
      <c r="E882" s="44"/>
      <c r="F882" s="44"/>
      <c r="G882" s="44"/>
    </row>
    <row r="883" spans="1:7" x14ac:dyDescent="0.2">
      <c r="A883" s="43"/>
      <c r="B883" s="43"/>
      <c r="C883" s="43"/>
      <c r="D883" s="43"/>
      <c r="E883" s="43"/>
      <c r="F883" s="43"/>
      <c r="G883" s="43"/>
    </row>
    <row r="884" spans="1:7" x14ac:dyDescent="0.2">
      <c r="A884" s="44"/>
      <c r="B884" s="44"/>
      <c r="C884" s="44"/>
      <c r="D884" s="44"/>
      <c r="E884" s="44"/>
      <c r="F884" s="44"/>
      <c r="G884" s="44"/>
    </row>
    <row r="885" spans="1:7" x14ac:dyDescent="0.2">
      <c r="A885" s="43"/>
      <c r="B885" s="43"/>
      <c r="C885" s="43"/>
      <c r="D885" s="43"/>
      <c r="E885" s="43"/>
      <c r="F885" s="43"/>
      <c r="G885" s="43"/>
    </row>
    <row r="886" spans="1:7" x14ac:dyDescent="0.2">
      <c r="A886" s="44"/>
      <c r="B886" s="44"/>
      <c r="C886" s="44"/>
      <c r="D886" s="44"/>
      <c r="E886" s="44"/>
      <c r="F886" s="44"/>
      <c r="G886" s="44"/>
    </row>
    <row r="887" spans="1:7" x14ac:dyDescent="0.2">
      <c r="A887" s="43"/>
      <c r="B887" s="43"/>
      <c r="C887" s="43"/>
      <c r="D887" s="43"/>
      <c r="E887" s="43"/>
      <c r="F887" s="43"/>
      <c r="G887" s="43"/>
    </row>
    <row r="888" spans="1:7" x14ac:dyDescent="0.2">
      <c r="A888" s="44"/>
      <c r="B888" s="44"/>
      <c r="C888" s="44"/>
      <c r="D888" s="44"/>
      <c r="E888" s="44"/>
      <c r="F888" s="44"/>
      <c r="G888" s="44"/>
    </row>
    <row r="889" spans="1:7" x14ac:dyDescent="0.2">
      <c r="A889" s="43"/>
      <c r="B889" s="43"/>
      <c r="C889" s="43"/>
      <c r="D889" s="43"/>
      <c r="E889" s="43"/>
      <c r="F889" s="43"/>
      <c r="G889" s="43"/>
    </row>
    <row r="890" spans="1:7" x14ac:dyDescent="0.2">
      <c r="A890" s="44"/>
      <c r="B890" s="44"/>
      <c r="C890" s="44"/>
      <c r="D890" s="44"/>
      <c r="E890" s="44"/>
      <c r="F890" s="44"/>
      <c r="G890" s="44"/>
    </row>
    <row r="891" spans="1:7" x14ac:dyDescent="0.2">
      <c r="A891" s="43"/>
      <c r="B891" s="43"/>
      <c r="C891" s="43"/>
      <c r="D891" s="43"/>
      <c r="E891" s="43"/>
      <c r="F891" s="43"/>
      <c r="G891" s="43"/>
    </row>
    <row r="892" spans="1:7" x14ac:dyDescent="0.2">
      <c r="A892" s="44"/>
      <c r="B892" s="44"/>
      <c r="C892" s="44"/>
      <c r="D892" s="44"/>
      <c r="E892" s="44"/>
      <c r="F892" s="44"/>
      <c r="G892" s="44"/>
    </row>
    <row r="893" spans="1:7" x14ac:dyDescent="0.2">
      <c r="A893" s="43"/>
      <c r="B893" s="43"/>
      <c r="C893" s="43"/>
      <c r="D893" s="43"/>
      <c r="E893" s="43"/>
      <c r="F893" s="43"/>
      <c r="G893" s="43"/>
    </row>
    <row r="894" spans="1:7" x14ac:dyDescent="0.2">
      <c r="A894" s="44"/>
      <c r="B894" s="44"/>
      <c r="C894" s="44"/>
      <c r="D894" s="44"/>
      <c r="E894" s="44"/>
      <c r="F894" s="44"/>
      <c r="G894" s="44"/>
    </row>
    <row r="895" spans="1:7" x14ac:dyDescent="0.2">
      <c r="A895" s="43"/>
      <c r="B895" s="43"/>
      <c r="C895" s="43"/>
      <c r="D895" s="43"/>
      <c r="E895" s="43"/>
      <c r="F895" s="43"/>
      <c r="G895" s="43"/>
    </row>
    <row r="896" spans="1:7" x14ac:dyDescent="0.2">
      <c r="A896" s="44"/>
      <c r="B896" s="44"/>
      <c r="C896" s="44"/>
      <c r="D896" s="44"/>
      <c r="E896" s="44"/>
      <c r="F896" s="44"/>
      <c r="G896" s="44"/>
    </row>
    <row r="897" spans="1:7" x14ac:dyDescent="0.2">
      <c r="A897" s="43"/>
      <c r="B897" s="43"/>
      <c r="C897" s="43"/>
      <c r="D897" s="43"/>
      <c r="E897" s="43"/>
      <c r="F897" s="43"/>
      <c r="G897" s="43"/>
    </row>
    <row r="898" spans="1:7" x14ac:dyDescent="0.2">
      <c r="A898" s="44"/>
      <c r="B898" s="44"/>
      <c r="C898" s="44"/>
      <c r="D898" s="44"/>
      <c r="E898" s="44"/>
      <c r="F898" s="44"/>
      <c r="G898" s="44"/>
    </row>
    <row r="899" spans="1:7" x14ac:dyDescent="0.2">
      <c r="A899" s="43"/>
      <c r="B899" s="43"/>
      <c r="C899" s="43"/>
      <c r="D899" s="43"/>
      <c r="E899" s="43"/>
      <c r="F899" s="43"/>
      <c r="G899" s="43"/>
    </row>
    <row r="900" spans="1:7" x14ac:dyDescent="0.2">
      <c r="A900" s="44"/>
      <c r="B900" s="44"/>
      <c r="C900" s="44"/>
      <c r="D900" s="44"/>
      <c r="E900" s="44"/>
      <c r="F900" s="44"/>
      <c r="G900" s="44"/>
    </row>
    <row r="901" spans="1:7" x14ac:dyDescent="0.2">
      <c r="A901" s="43"/>
      <c r="B901" s="43"/>
      <c r="C901" s="43"/>
      <c r="D901" s="43"/>
      <c r="E901" s="43"/>
      <c r="F901" s="43"/>
      <c r="G901" s="43"/>
    </row>
    <row r="902" spans="1:7" x14ac:dyDescent="0.2">
      <c r="A902" s="44"/>
      <c r="B902" s="44"/>
      <c r="C902" s="44"/>
      <c r="D902" s="44"/>
      <c r="E902" s="44"/>
      <c r="F902" s="44"/>
      <c r="G902" s="44"/>
    </row>
    <row r="903" spans="1:7" x14ac:dyDescent="0.2">
      <c r="A903" s="43"/>
      <c r="B903" s="43"/>
      <c r="C903" s="43"/>
      <c r="D903" s="43"/>
      <c r="E903" s="43"/>
      <c r="F903" s="43"/>
      <c r="G903" s="43"/>
    </row>
    <row r="904" spans="1:7" x14ac:dyDescent="0.2">
      <c r="A904" s="44"/>
      <c r="B904" s="44"/>
      <c r="C904" s="44"/>
      <c r="D904" s="44"/>
      <c r="E904" s="44"/>
      <c r="F904" s="44"/>
      <c r="G904" s="44"/>
    </row>
    <row r="905" spans="1:7" x14ac:dyDescent="0.2">
      <c r="A905" s="43"/>
      <c r="B905" s="43"/>
      <c r="C905" s="43"/>
      <c r="D905" s="43"/>
      <c r="E905" s="43"/>
      <c r="F905" s="43"/>
      <c r="G905" s="43"/>
    </row>
    <row r="906" spans="1:7" x14ac:dyDescent="0.2">
      <c r="A906" s="44"/>
      <c r="B906" s="44"/>
      <c r="C906" s="44"/>
      <c r="D906" s="44"/>
      <c r="E906" s="44"/>
      <c r="F906" s="44"/>
      <c r="G906" s="44"/>
    </row>
    <row r="907" spans="1:7" x14ac:dyDescent="0.2">
      <c r="A907" s="43"/>
      <c r="B907" s="43"/>
      <c r="C907" s="43"/>
      <c r="D907" s="43"/>
      <c r="E907" s="43"/>
      <c r="F907" s="43"/>
      <c r="G907" s="43"/>
    </row>
    <row r="908" spans="1:7" x14ac:dyDescent="0.2">
      <c r="A908" s="44"/>
      <c r="B908" s="44"/>
      <c r="C908" s="44"/>
      <c r="D908" s="44"/>
      <c r="E908" s="44"/>
      <c r="F908" s="44"/>
      <c r="G908" s="44"/>
    </row>
    <row r="909" spans="1:7" x14ac:dyDescent="0.2">
      <c r="A909" s="43"/>
      <c r="B909" s="43"/>
      <c r="C909" s="43"/>
      <c r="D909" s="43"/>
      <c r="E909" s="43"/>
      <c r="F909" s="43"/>
      <c r="G909" s="43"/>
    </row>
    <row r="910" spans="1:7" x14ac:dyDescent="0.2">
      <c r="A910" s="44"/>
      <c r="B910" s="44"/>
      <c r="C910" s="44"/>
      <c r="D910" s="44"/>
      <c r="E910" s="44"/>
      <c r="F910" s="44"/>
      <c r="G910" s="44"/>
    </row>
    <row r="911" spans="1:7" x14ac:dyDescent="0.2">
      <c r="A911" s="43"/>
      <c r="B911" s="43"/>
      <c r="C911" s="43"/>
      <c r="D911" s="43"/>
      <c r="E911" s="43"/>
      <c r="F911" s="43"/>
      <c r="G911" s="43"/>
    </row>
    <row r="912" spans="1:7" x14ac:dyDescent="0.2">
      <c r="A912" s="44"/>
      <c r="B912" s="44"/>
      <c r="C912" s="44"/>
      <c r="D912" s="44"/>
      <c r="E912" s="44"/>
      <c r="F912" s="44"/>
      <c r="G912" s="44"/>
    </row>
    <row r="913" spans="1:7" x14ac:dyDescent="0.2">
      <c r="A913" s="43"/>
      <c r="B913" s="43"/>
      <c r="C913" s="43"/>
      <c r="D913" s="43"/>
      <c r="E913" s="43"/>
      <c r="F913" s="43"/>
      <c r="G913" s="43"/>
    </row>
    <row r="914" spans="1:7" x14ac:dyDescent="0.2">
      <c r="A914" s="44"/>
      <c r="B914" s="44"/>
      <c r="C914" s="44"/>
      <c r="D914" s="44"/>
      <c r="E914" s="44"/>
      <c r="F914" s="44"/>
      <c r="G914" s="44"/>
    </row>
    <row r="915" spans="1:7" x14ac:dyDescent="0.2">
      <c r="A915" s="43"/>
      <c r="B915" s="43"/>
      <c r="C915" s="43"/>
      <c r="D915" s="43"/>
      <c r="E915" s="43"/>
      <c r="F915" s="43"/>
      <c r="G915" s="43"/>
    </row>
    <row r="916" spans="1:7" x14ac:dyDescent="0.2">
      <c r="A916" s="44"/>
      <c r="B916" s="44"/>
      <c r="C916" s="44"/>
      <c r="D916" s="44"/>
      <c r="E916" s="44"/>
      <c r="F916" s="44"/>
      <c r="G916" s="44"/>
    </row>
    <row r="917" spans="1:7" x14ac:dyDescent="0.2">
      <c r="A917" s="43"/>
      <c r="B917" s="43"/>
      <c r="C917" s="43"/>
      <c r="D917" s="43"/>
      <c r="E917" s="43"/>
      <c r="F917" s="43"/>
      <c r="G917" s="43"/>
    </row>
    <row r="918" spans="1:7" x14ac:dyDescent="0.2">
      <c r="A918" s="44"/>
      <c r="B918" s="44"/>
      <c r="C918" s="44"/>
      <c r="D918" s="44"/>
      <c r="E918" s="44"/>
      <c r="F918" s="44"/>
      <c r="G918" s="44"/>
    </row>
    <row r="919" spans="1:7" x14ac:dyDescent="0.2">
      <c r="A919" s="43"/>
      <c r="B919" s="43"/>
      <c r="C919" s="43"/>
      <c r="D919" s="43"/>
      <c r="E919" s="43"/>
      <c r="F919" s="43"/>
      <c r="G919" s="43"/>
    </row>
    <row r="920" spans="1:7" x14ac:dyDescent="0.2">
      <c r="A920" s="44"/>
      <c r="B920" s="44"/>
      <c r="C920" s="44"/>
      <c r="D920" s="44"/>
      <c r="E920" s="44"/>
      <c r="F920" s="44"/>
      <c r="G920" s="44"/>
    </row>
    <row r="921" spans="1:7" x14ac:dyDescent="0.2">
      <c r="A921" s="43"/>
      <c r="B921" s="43"/>
      <c r="C921" s="43"/>
      <c r="D921" s="43"/>
      <c r="E921" s="43"/>
      <c r="F921" s="43"/>
      <c r="G921" s="43"/>
    </row>
    <row r="922" spans="1:7" x14ac:dyDescent="0.2">
      <c r="A922" s="44"/>
      <c r="B922" s="44"/>
      <c r="C922" s="44"/>
      <c r="D922" s="44"/>
      <c r="E922" s="44"/>
      <c r="F922" s="44"/>
      <c r="G922" s="44"/>
    </row>
    <row r="923" spans="1:7" x14ac:dyDescent="0.2">
      <c r="A923" s="43"/>
      <c r="B923" s="43"/>
      <c r="C923" s="43"/>
      <c r="D923" s="43"/>
      <c r="E923" s="43"/>
      <c r="F923" s="43"/>
      <c r="G923" s="43"/>
    </row>
    <row r="924" spans="1:7" x14ac:dyDescent="0.2">
      <c r="A924" s="44"/>
      <c r="B924" s="44"/>
      <c r="C924" s="44"/>
      <c r="D924" s="44"/>
      <c r="E924" s="44"/>
      <c r="F924" s="44"/>
      <c r="G924" s="44"/>
    </row>
    <row r="925" spans="1:7" x14ac:dyDescent="0.2">
      <c r="A925" s="43"/>
      <c r="B925" s="43"/>
      <c r="C925" s="43"/>
      <c r="D925" s="43"/>
      <c r="E925" s="43"/>
      <c r="F925" s="43"/>
      <c r="G925" s="43"/>
    </row>
    <row r="926" spans="1:7" x14ac:dyDescent="0.2">
      <c r="A926" s="44"/>
      <c r="B926" s="44"/>
      <c r="C926" s="44"/>
      <c r="D926" s="44"/>
      <c r="E926" s="44"/>
      <c r="F926" s="44"/>
      <c r="G926" s="44"/>
    </row>
    <row r="927" spans="1:7" x14ac:dyDescent="0.2">
      <c r="A927" s="43"/>
      <c r="B927" s="43"/>
      <c r="C927" s="43"/>
      <c r="D927" s="43"/>
      <c r="E927" s="43"/>
      <c r="F927" s="43"/>
      <c r="G927" s="43"/>
    </row>
    <row r="928" spans="1:7" x14ac:dyDescent="0.2">
      <c r="A928" s="44"/>
      <c r="B928" s="44"/>
      <c r="C928" s="44"/>
      <c r="D928" s="44"/>
      <c r="E928" s="44"/>
      <c r="F928" s="44"/>
      <c r="G928" s="44"/>
    </row>
    <row r="929" spans="1:7" x14ac:dyDescent="0.2">
      <c r="A929" s="43"/>
      <c r="B929" s="43"/>
      <c r="C929" s="43"/>
      <c r="D929" s="43"/>
      <c r="E929" s="43"/>
      <c r="F929" s="43"/>
      <c r="G929" s="43"/>
    </row>
    <row r="930" spans="1:7" x14ac:dyDescent="0.2">
      <c r="A930" s="44"/>
      <c r="B930" s="44"/>
      <c r="C930" s="44"/>
      <c r="D930" s="44"/>
      <c r="E930" s="44"/>
      <c r="F930" s="44"/>
      <c r="G930" s="44"/>
    </row>
    <row r="931" spans="1:7" x14ac:dyDescent="0.2">
      <c r="A931" s="43"/>
      <c r="B931" s="43"/>
      <c r="C931" s="43"/>
      <c r="D931" s="43"/>
      <c r="E931" s="43"/>
      <c r="F931" s="43"/>
      <c r="G931" s="43"/>
    </row>
    <row r="932" spans="1:7" x14ac:dyDescent="0.2">
      <c r="A932" s="44"/>
      <c r="B932" s="44"/>
      <c r="C932" s="44"/>
      <c r="D932" s="44"/>
      <c r="E932" s="44"/>
      <c r="F932" s="44"/>
      <c r="G932" s="44"/>
    </row>
    <row r="933" spans="1:7" x14ac:dyDescent="0.2">
      <c r="A933" s="43"/>
      <c r="B933" s="43"/>
      <c r="C933" s="43"/>
      <c r="D933" s="43"/>
      <c r="E933" s="43"/>
      <c r="F933" s="43"/>
      <c r="G933" s="43"/>
    </row>
    <row r="934" spans="1:7" x14ac:dyDescent="0.2">
      <c r="A934" s="44"/>
      <c r="B934" s="44"/>
      <c r="C934" s="44"/>
      <c r="D934" s="44"/>
      <c r="E934" s="44"/>
      <c r="F934" s="44"/>
      <c r="G934" s="44"/>
    </row>
    <row r="935" spans="1:7" x14ac:dyDescent="0.2">
      <c r="A935" s="43"/>
      <c r="B935" s="43"/>
      <c r="C935" s="43"/>
      <c r="D935" s="43"/>
      <c r="E935" s="43"/>
      <c r="F935" s="43"/>
      <c r="G935" s="43"/>
    </row>
    <row r="936" spans="1:7" x14ac:dyDescent="0.2">
      <c r="A936" s="44"/>
      <c r="B936" s="44"/>
      <c r="C936" s="44"/>
      <c r="D936" s="44"/>
      <c r="E936" s="44"/>
      <c r="F936" s="44"/>
      <c r="G936" s="44"/>
    </row>
    <row r="937" spans="1:7" x14ac:dyDescent="0.2">
      <c r="A937" s="43"/>
      <c r="B937" s="43"/>
      <c r="C937" s="43"/>
      <c r="D937" s="43"/>
      <c r="E937" s="43"/>
      <c r="F937" s="43"/>
      <c r="G937" s="43"/>
    </row>
    <row r="938" spans="1:7" x14ac:dyDescent="0.2">
      <c r="A938" s="44"/>
      <c r="B938" s="44"/>
      <c r="C938" s="44"/>
      <c r="D938" s="44"/>
      <c r="E938" s="44"/>
      <c r="F938" s="44"/>
      <c r="G938" s="44"/>
    </row>
    <row r="939" spans="1:7" x14ac:dyDescent="0.2">
      <c r="A939" s="43"/>
      <c r="B939" s="43"/>
      <c r="C939" s="43"/>
      <c r="D939" s="43"/>
      <c r="E939" s="43"/>
      <c r="F939" s="43"/>
      <c r="G939" s="43"/>
    </row>
    <row r="940" spans="1:7" x14ac:dyDescent="0.2">
      <c r="A940" s="44"/>
      <c r="B940" s="44"/>
      <c r="C940" s="44"/>
      <c r="D940" s="44"/>
      <c r="E940" s="44"/>
      <c r="F940" s="44"/>
      <c r="G940" s="44"/>
    </row>
    <row r="941" spans="1:7" x14ac:dyDescent="0.2">
      <c r="A941" s="43"/>
      <c r="B941" s="43"/>
      <c r="C941" s="43"/>
      <c r="D941" s="43"/>
      <c r="E941" s="43"/>
      <c r="F941" s="43"/>
      <c r="G941" s="43"/>
    </row>
    <row r="942" spans="1:7" x14ac:dyDescent="0.2">
      <c r="A942" s="44"/>
      <c r="B942" s="44"/>
      <c r="C942" s="44"/>
      <c r="D942" s="44"/>
      <c r="E942" s="44"/>
      <c r="F942" s="44"/>
      <c r="G942" s="44"/>
    </row>
    <row r="943" spans="1:7" x14ac:dyDescent="0.2">
      <c r="A943" s="43"/>
      <c r="B943" s="43"/>
      <c r="C943" s="43"/>
      <c r="D943" s="43"/>
      <c r="E943" s="43"/>
      <c r="F943" s="43"/>
      <c r="G943" s="43"/>
    </row>
    <row r="944" spans="1:7" x14ac:dyDescent="0.2">
      <c r="A944" s="44"/>
      <c r="B944" s="44"/>
      <c r="C944" s="44"/>
      <c r="D944" s="44"/>
      <c r="E944" s="44"/>
      <c r="F944" s="44"/>
      <c r="G944" s="44"/>
    </row>
    <row r="945" spans="1:7" x14ac:dyDescent="0.2">
      <c r="A945" s="43"/>
      <c r="B945" s="43"/>
      <c r="C945" s="43"/>
      <c r="D945" s="43"/>
      <c r="E945" s="43"/>
      <c r="F945" s="43"/>
      <c r="G945" s="43"/>
    </row>
    <row r="946" spans="1:7" x14ac:dyDescent="0.2">
      <c r="A946" s="44"/>
      <c r="B946" s="44"/>
      <c r="C946" s="44"/>
      <c r="D946" s="44"/>
      <c r="E946" s="44"/>
      <c r="F946" s="44"/>
      <c r="G946" s="44"/>
    </row>
    <row r="947" spans="1:7" x14ac:dyDescent="0.2">
      <c r="A947" s="43"/>
      <c r="B947" s="43"/>
      <c r="C947" s="43"/>
      <c r="D947" s="43"/>
      <c r="E947" s="43"/>
      <c r="F947" s="43"/>
      <c r="G947" s="43"/>
    </row>
    <row r="948" spans="1:7" x14ac:dyDescent="0.2">
      <c r="A948" s="44"/>
      <c r="B948" s="44"/>
      <c r="C948" s="44"/>
      <c r="D948" s="44"/>
      <c r="E948" s="44"/>
      <c r="F948" s="44"/>
      <c r="G948" s="44"/>
    </row>
    <row r="949" spans="1:7" x14ac:dyDescent="0.2">
      <c r="A949" s="43"/>
      <c r="B949" s="43"/>
      <c r="C949" s="43"/>
      <c r="D949" s="43"/>
      <c r="E949" s="43"/>
      <c r="F949" s="43"/>
      <c r="G949" s="43"/>
    </row>
    <row r="950" spans="1:7" x14ac:dyDescent="0.2">
      <c r="A950" s="44"/>
      <c r="B950" s="44"/>
      <c r="C950" s="44"/>
      <c r="D950" s="44"/>
      <c r="E950" s="44"/>
      <c r="F950" s="44"/>
      <c r="G950" s="44"/>
    </row>
    <row r="951" spans="1:7" x14ac:dyDescent="0.2">
      <c r="A951" s="43"/>
      <c r="B951" s="43"/>
      <c r="C951" s="43"/>
      <c r="D951" s="43"/>
      <c r="E951" s="43"/>
      <c r="F951" s="43"/>
      <c r="G951" s="43"/>
    </row>
    <row r="952" spans="1:7" x14ac:dyDescent="0.2">
      <c r="A952" s="44"/>
      <c r="B952" s="44"/>
      <c r="C952" s="44"/>
      <c r="D952" s="44"/>
      <c r="E952" s="44"/>
      <c r="F952" s="44"/>
      <c r="G952" s="44"/>
    </row>
    <row r="953" spans="1:7" x14ac:dyDescent="0.2">
      <c r="A953" s="43"/>
      <c r="B953" s="43"/>
      <c r="C953" s="43"/>
      <c r="D953" s="43"/>
      <c r="E953" s="43"/>
      <c r="F953" s="43"/>
      <c r="G953" s="43"/>
    </row>
    <row r="954" spans="1:7" x14ac:dyDescent="0.2">
      <c r="A954" s="44"/>
      <c r="B954" s="44"/>
      <c r="C954" s="44"/>
      <c r="D954" s="44"/>
      <c r="E954" s="44"/>
      <c r="F954" s="44"/>
      <c r="G954" s="44"/>
    </row>
    <row r="955" spans="1:7" x14ac:dyDescent="0.2">
      <c r="A955" s="43"/>
      <c r="B955" s="43"/>
      <c r="C955" s="43"/>
      <c r="D955" s="43"/>
      <c r="E955" s="43"/>
      <c r="F955" s="43"/>
      <c r="G955" s="43"/>
    </row>
    <row r="956" spans="1:7" x14ac:dyDescent="0.2">
      <c r="A956" s="44"/>
      <c r="B956" s="44"/>
      <c r="C956" s="44"/>
      <c r="D956" s="44"/>
      <c r="E956" s="44"/>
      <c r="F956" s="44"/>
      <c r="G956" s="44"/>
    </row>
    <row r="957" spans="1:7" x14ac:dyDescent="0.2">
      <c r="A957" s="43"/>
      <c r="B957" s="43"/>
      <c r="C957" s="43"/>
      <c r="D957" s="43"/>
      <c r="E957" s="43"/>
      <c r="F957" s="43"/>
      <c r="G957" s="43"/>
    </row>
    <row r="958" spans="1:7" x14ac:dyDescent="0.2">
      <c r="A958" s="44"/>
      <c r="B958" s="44"/>
      <c r="C958" s="44"/>
      <c r="D958" s="44"/>
      <c r="E958" s="44"/>
      <c r="F958" s="44"/>
      <c r="G958" s="44"/>
    </row>
    <row r="959" spans="1:7" x14ac:dyDescent="0.2">
      <c r="A959" s="43"/>
      <c r="B959" s="43"/>
      <c r="C959" s="43"/>
      <c r="D959" s="43"/>
      <c r="E959" s="43"/>
      <c r="F959" s="43"/>
      <c r="G959" s="43"/>
    </row>
    <row r="960" spans="1:7" x14ac:dyDescent="0.2">
      <c r="A960" s="44"/>
      <c r="B960" s="44"/>
      <c r="C960" s="44"/>
      <c r="D960" s="44"/>
      <c r="E960" s="44"/>
      <c r="F960" s="44"/>
      <c r="G960" s="44"/>
    </row>
    <row r="961" spans="1:7" x14ac:dyDescent="0.2">
      <c r="A961" s="43"/>
      <c r="B961" s="43"/>
      <c r="C961" s="43"/>
      <c r="D961" s="43"/>
      <c r="E961" s="43"/>
      <c r="F961" s="43"/>
      <c r="G961" s="43"/>
    </row>
    <row r="962" spans="1:7" x14ac:dyDescent="0.2">
      <c r="A962" s="44"/>
      <c r="B962" s="44"/>
      <c r="C962" s="44"/>
      <c r="D962" s="44"/>
      <c r="E962" s="44"/>
      <c r="F962" s="44"/>
      <c r="G962" s="44"/>
    </row>
    <row r="963" spans="1:7" x14ac:dyDescent="0.2">
      <c r="A963" s="43"/>
      <c r="B963" s="43"/>
      <c r="C963" s="43"/>
      <c r="D963" s="43"/>
      <c r="E963" s="43"/>
      <c r="F963" s="43"/>
      <c r="G963" s="43"/>
    </row>
    <row r="964" spans="1:7" x14ac:dyDescent="0.2">
      <c r="A964" s="44"/>
      <c r="B964" s="44"/>
      <c r="C964" s="44"/>
      <c r="D964" s="44"/>
      <c r="E964" s="44"/>
      <c r="F964" s="44"/>
      <c r="G964" s="44"/>
    </row>
    <row r="965" spans="1:7" x14ac:dyDescent="0.2">
      <c r="A965" s="43"/>
      <c r="B965" s="43"/>
      <c r="C965" s="43"/>
      <c r="D965" s="43"/>
      <c r="E965" s="43"/>
      <c r="F965" s="43"/>
      <c r="G965" s="43"/>
    </row>
    <row r="966" spans="1:7" x14ac:dyDescent="0.2">
      <c r="A966" s="44"/>
      <c r="B966" s="44"/>
      <c r="C966" s="44"/>
      <c r="D966" s="44"/>
      <c r="E966" s="44"/>
      <c r="F966" s="44"/>
      <c r="G966" s="44"/>
    </row>
    <row r="967" spans="1:7" x14ac:dyDescent="0.2">
      <c r="A967" s="43"/>
      <c r="B967" s="43"/>
      <c r="C967" s="43"/>
      <c r="D967" s="43"/>
      <c r="E967" s="43"/>
      <c r="F967" s="43"/>
      <c r="G967" s="43"/>
    </row>
    <row r="968" spans="1:7" x14ac:dyDescent="0.2">
      <c r="A968" s="44"/>
      <c r="B968" s="44"/>
      <c r="C968" s="44"/>
      <c r="D968" s="44"/>
      <c r="E968" s="44"/>
      <c r="F968" s="44"/>
      <c r="G968" s="44"/>
    </row>
    <row r="969" spans="1:7" x14ac:dyDescent="0.2">
      <c r="A969" s="43"/>
      <c r="B969" s="43"/>
      <c r="C969" s="43"/>
      <c r="D969" s="43"/>
      <c r="E969" s="43"/>
      <c r="F969" s="43"/>
      <c r="G969" s="43"/>
    </row>
    <row r="970" spans="1:7" x14ac:dyDescent="0.2">
      <c r="A970" s="44"/>
      <c r="B970" s="44"/>
      <c r="C970" s="44"/>
      <c r="D970" s="44"/>
      <c r="E970" s="44"/>
      <c r="F970" s="44"/>
      <c r="G970" s="44"/>
    </row>
    <row r="971" spans="1:7" x14ac:dyDescent="0.2">
      <c r="A971" s="43"/>
      <c r="B971" s="43"/>
      <c r="C971" s="43"/>
      <c r="D971" s="43"/>
      <c r="E971" s="43"/>
      <c r="F971" s="43"/>
      <c r="G971" s="43"/>
    </row>
    <row r="972" spans="1:7" x14ac:dyDescent="0.2">
      <c r="A972" s="44"/>
      <c r="B972" s="44"/>
      <c r="C972" s="44"/>
      <c r="D972" s="44"/>
      <c r="E972" s="44"/>
      <c r="F972" s="44"/>
      <c r="G972" s="44"/>
    </row>
    <row r="973" spans="1:7" x14ac:dyDescent="0.2">
      <c r="A973" s="43"/>
      <c r="B973" s="43"/>
      <c r="C973" s="43"/>
      <c r="D973" s="43"/>
      <c r="E973" s="43"/>
      <c r="F973" s="43"/>
      <c r="G973" s="43"/>
    </row>
    <row r="974" spans="1:7" x14ac:dyDescent="0.2">
      <c r="A974" s="44"/>
      <c r="B974" s="44"/>
      <c r="C974" s="44"/>
      <c r="D974" s="44"/>
      <c r="E974" s="44"/>
      <c r="F974" s="44"/>
      <c r="G974" s="44"/>
    </row>
    <row r="975" spans="1:7" x14ac:dyDescent="0.2">
      <c r="A975" s="43"/>
      <c r="B975" s="43"/>
      <c r="C975" s="43"/>
      <c r="D975" s="43"/>
      <c r="E975" s="43"/>
      <c r="F975" s="43"/>
      <c r="G975" s="43"/>
    </row>
    <row r="976" spans="1:7" x14ac:dyDescent="0.2">
      <c r="A976" s="44"/>
      <c r="B976" s="44"/>
      <c r="C976" s="44"/>
      <c r="D976" s="44"/>
      <c r="E976" s="44"/>
      <c r="F976" s="44"/>
      <c r="G976" s="44"/>
    </row>
    <row r="977" spans="1:7" x14ac:dyDescent="0.2">
      <c r="A977" s="43"/>
      <c r="B977" s="43"/>
      <c r="C977" s="43"/>
      <c r="D977" s="43"/>
      <c r="E977" s="43"/>
      <c r="F977" s="43"/>
      <c r="G977" s="43"/>
    </row>
    <row r="978" spans="1:7" x14ac:dyDescent="0.2">
      <c r="A978" s="44"/>
      <c r="B978" s="44"/>
      <c r="C978" s="44"/>
      <c r="D978" s="44"/>
      <c r="E978" s="44"/>
      <c r="F978" s="44"/>
      <c r="G978" s="44"/>
    </row>
    <row r="979" spans="1:7" x14ac:dyDescent="0.2">
      <c r="A979" s="43"/>
      <c r="B979" s="43"/>
      <c r="C979" s="43"/>
      <c r="D979" s="43"/>
      <c r="E979" s="43"/>
      <c r="F979" s="43"/>
      <c r="G979" s="43"/>
    </row>
    <row r="980" spans="1:7" x14ac:dyDescent="0.2">
      <c r="A980" s="44"/>
      <c r="B980" s="44"/>
      <c r="C980" s="44"/>
      <c r="D980" s="44"/>
      <c r="E980" s="44"/>
      <c r="F980" s="44"/>
      <c r="G980" s="44"/>
    </row>
    <row r="981" spans="1:7" x14ac:dyDescent="0.2">
      <c r="A981" s="43"/>
      <c r="B981" s="43"/>
      <c r="C981" s="43"/>
      <c r="D981" s="43"/>
      <c r="E981" s="43"/>
      <c r="F981" s="43"/>
      <c r="G981" s="43"/>
    </row>
    <row r="982" spans="1:7" x14ac:dyDescent="0.2">
      <c r="A982" s="44"/>
      <c r="B982" s="44"/>
      <c r="C982" s="44"/>
      <c r="D982" s="44"/>
      <c r="E982" s="44"/>
      <c r="F982" s="44"/>
      <c r="G982" s="44"/>
    </row>
    <row r="983" spans="1:7" x14ac:dyDescent="0.2">
      <c r="A983" s="43"/>
      <c r="B983" s="43"/>
      <c r="C983" s="43"/>
      <c r="D983" s="43"/>
      <c r="E983" s="43"/>
      <c r="F983" s="43"/>
      <c r="G983" s="43"/>
    </row>
    <row r="984" spans="1:7" x14ac:dyDescent="0.2">
      <c r="A984" s="44"/>
      <c r="B984" s="44"/>
      <c r="C984" s="44"/>
      <c r="D984" s="44"/>
      <c r="E984" s="44"/>
      <c r="F984" s="44"/>
      <c r="G984" s="44"/>
    </row>
    <row r="985" spans="1:7" x14ac:dyDescent="0.2">
      <c r="A985" s="43"/>
      <c r="B985" s="43"/>
      <c r="C985" s="43"/>
      <c r="D985" s="43"/>
      <c r="E985" s="43"/>
      <c r="F985" s="43"/>
      <c r="G985" s="43"/>
    </row>
    <row r="986" spans="1:7" x14ac:dyDescent="0.2">
      <c r="A986" s="44"/>
      <c r="B986" s="44"/>
      <c r="C986" s="44"/>
      <c r="D986" s="44"/>
      <c r="E986" s="44"/>
      <c r="F986" s="44"/>
      <c r="G986" s="44"/>
    </row>
    <row r="987" spans="1:7" x14ac:dyDescent="0.2">
      <c r="A987" s="43"/>
      <c r="B987" s="43"/>
      <c r="C987" s="43"/>
      <c r="D987" s="43"/>
      <c r="E987" s="43"/>
      <c r="F987" s="43"/>
      <c r="G987" s="43"/>
    </row>
    <row r="988" spans="1:7" x14ac:dyDescent="0.2">
      <c r="A988" s="44"/>
      <c r="B988" s="44"/>
      <c r="C988" s="44"/>
      <c r="D988" s="44"/>
      <c r="E988" s="44"/>
      <c r="F988" s="44"/>
      <c r="G988" s="44"/>
    </row>
    <row r="989" spans="1:7" x14ac:dyDescent="0.2">
      <c r="A989" s="43"/>
      <c r="B989" s="43"/>
      <c r="C989" s="43"/>
      <c r="D989" s="43"/>
      <c r="E989" s="43"/>
      <c r="F989" s="43"/>
      <c r="G989" s="43"/>
    </row>
    <row r="990" spans="1:7" x14ac:dyDescent="0.2">
      <c r="A990" s="44"/>
      <c r="B990" s="44"/>
      <c r="C990" s="44"/>
      <c r="D990" s="44"/>
      <c r="E990" s="44"/>
      <c r="F990" s="44"/>
      <c r="G990" s="44"/>
    </row>
    <row r="991" spans="1:7" x14ac:dyDescent="0.2">
      <c r="A991" s="43"/>
      <c r="B991" s="43"/>
      <c r="C991" s="43"/>
      <c r="D991" s="43"/>
      <c r="E991" s="43"/>
      <c r="F991" s="43"/>
      <c r="G991" s="43"/>
    </row>
    <row r="992" spans="1:7" x14ac:dyDescent="0.2">
      <c r="A992" s="44"/>
      <c r="B992" s="44"/>
      <c r="C992" s="44"/>
      <c r="D992" s="44"/>
      <c r="E992" s="44"/>
      <c r="F992" s="44"/>
      <c r="G992" s="44"/>
    </row>
    <row r="993" spans="1:7" x14ac:dyDescent="0.2">
      <c r="A993" s="43"/>
      <c r="B993" s="43"/>
      <c r="C993" s="43"/>
      <c r="D993" s="43"/>
      <c r="E993" s="43"/>
      <c r="F993" s="43"/>
      <c r="G993" s="43"/>
    </row>
    <row r="994" spans="1:7" x14ac:dyDescent="0.2">
      <c r="A994" s="44"/>
      <c r="B994" s="44"/>
      <c r="C994" s="44"/>
      <c r="D994" s="44"/>
      <c r="E994" s="44"/>
      <c r="F994" s="44"/>
      <c r="G994" s="44"/>
    </row>
    <row r="995" spans="1:7" x14ac:dyDescent="0.2">
      <c r="A995" s="43"/>
      <c r="B995" s="43"/>
      <c r="C995" s="43"/>
      <c r="D995" s="43"/>
      <c r="E995" s="43"/>
      <c r="F995" s="43"/>
      <c r="G995" s="43"/>
    </row>
    <row r="996" spans="1:7" x14ac:dyDescent="0.2">
      <c r="A996" s="44"/>
      <c r="B996" s="44"/>
      <c r="C996" s="44"/>
      <c r="D996" s="44"/>
      <c r="E996" s="44"/>
      <c r="F996" s="44"/>
      <c r="G996" s="44"/>
    </row>
    <row r="997" spans="1:7" x14ac:dyDescent="0.2">
      <c r="A997" s="43"/>
      <c r="B997" s="43"/>
      <c r="C997" s="43"/>
      <c r="D997" s="43"/>
      <c r="E997" s="43"/>
      <c r="F997" s="43"/>
      <c r="G997" s="43"/>
    </row>
    <row r="998" spans="1:7" x14ac:dyDescent="0.2">
      <c r="A998" s="44"/>
      <c r="B998" s="44"/>
      <c r="C998" s="44"/>
      <c r="D998" s="44"/>
      <c r="E998" s="44"/>
      <c r="F998" s="44"/>
      <c r="G998" s="44"/>
    </row>
    <row r="999" spans="1:7" x14ac:dyDescent="0.2">
      <c r="A999" s="43"/>
      <c r="B999" s="43"/>
      <c r="C999" s="43"/>
      <c r="D999" s="43"/>
      <c r="E999" s="43"/>
      <c r="F999" s="43"/>
      <c r="G999" s="43"/>
    </row>
    <row r="1000" spans="1:7" x14ac:dyDescent="0.2">
      <c r="A1000" s="44"/>
      <c r="B1000" s="44"/>
      <c r="C1000" s="44"/>
      <c r="D1000" s="44"/>
      <c r="E1000" s="44"/>
      <c r="F1000" s="44"/>
      <c r="G1000" s="44"/>
    </row>
    <row r="1001" spans="1:7" x14ac:dyDescent="0.2">
      <c r="A1001" s="43"/>
      <c r="B1001" s="43"/>
      <c r="C1001" s="43"/>
      <c r="D1001" s="43"/>
      <c r="E1001" s="43"/>
      <c r="F1001" s="43"/>
      <c r="G1001" s="43"/>
    </row>
    <row r="1002" spans="1:7" x14ac:dyDescent="0.2">
      <c r="A1002" s="44"/>
      <c r="B1002" s="44"/>
      <c r="C1002" s="44"/>
      <c r="D1002" s="44"/>
      <c r="E1002" s="44"/>
      <c r="F1002" s="44"/>
      <c r="G1002" s="44"/>
    </row>
    <row r="1003" spans="1:7" x14ac:dyDescent="0.2">
      <c r="A1003" s="43"/>
      <c r="B1003" s="43"/>
      <c r="C1003" s="43"/>
      <c r="D1003" s="43"/>
      <c r="E1003" s="43"/>
      <c r="F1003" s="43"/>
      <c r="G1003" s="43"/>
    </row>
    <row r="1004" spans="1:7" x14ac:dyDescent="0.2">
      <c r="A1004" s="44"/>
      <c r="B1004" s="44"/>
      <c r="C1004" s="44"/>
      <c r="D1004" s="44"/>
      <c r="E1004" s="44"/>
      <c r="F1004" s="44"/>
      <c r="G1004" s="44"/>
    </row>
    <row r="1005" spans="1:7" x14ac:dyDescent="0.2">
      <c r="A1005" s="43"/>
      <c r="B1005" s="43"/>
      <c r="C1005" s="43"/>
      <c r="D1005" s="43"/>
      <c r="E1005" s="43"/>
      <c r="F1005" s="43"/>
      <c r="G1005" s="43"/>
    </row>
    <row r="1006" spans="1:7" x14ac:dyDescent="0.2">
      <c r="A1006" s="44"/>
      <c r="B1006" s="44"/>
      <c r="C1006" s="44"/>
      <c r="D1006" s="44"/>
      <c r="E1006" s="44"/>
      <c r="F1006" s="44"/>
      <c r="G1006" s="44"/>
    </row>
    <row r="1007" spans="1:7" x14ac:dyDescent="0.2">
      <c r="A1007" s="43"/>
      <c r="B1007" s="43"/>
      <c r="C1007" s="43"/>
      <c r="D1007" s="43"/>
      <c r="E1007" s="43"/>
      <c r="F1007" s="43"/>
      <c r="G1007" s="43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AG1008"/>
  <sheetViews>
    <sheetView workbookViewId="0">
      <selection activeCell="G9" sqref="G9:G14"/>
    </sheetView>
  </sheetViews>
  <sheetFormatPr baseColWidth="10" defaultColWidth="9" defaultRowHeight="15" x14ac:dyDescent="0.2"/>
  <cols>
    <col min="1" max="1" width="12" style="41" bestFit="1" customWidth="1"/>
    <col min="2" max="16384" width="9" style="41"/>
  </cols>
  <sheetData>
    <row r="1" spans="1:33" x14ac:dyDescent="0.2">
      <c r="A1" s="40" t="s">
        <v>105</v>
      </c>
      <c r="B1" s="40" t="s">
        <v>303</v>
      </c>
      <c r="G1" s="42" t="s">
        <v>111</v>
      </c>
    </row>
    <row r="3" spans="1:33" x14ac:dyDescent="0.2">
      <c r="A3" s="42" t="s">
        <v>106</v>
      </c>
    </row>
    <row r="4" spans="1:33" x14ac:dyDescent="0.2">
      <c r="A4" s="43" t="s">
        <v>86</v>
      </c>
      <c r="B4" s="43" t="s">
        <v>112</v>
      </c>
      <c r="C4" s="43" t="s">
        <v>113</v>
      </c>
      <c r="D4" s="43" t="s">
        <v>114</v>
      </c>
      <c r="E4" s="43"/>
      <c r="F4" s="43"/>
      <c r="G4" s="43"/>
      <c r="H4" s="43"/>
      <c r="I4" s="43"/>
      <c r="J4" s="43"/>
      <c r="K4" s="43"/>
      <c r="L4" s="43"/>
    </row>
    <row r="5" spans="1:33" x14ac:dyDescent="0.2">
      <c r="A5" s="42" t="s">
        <v>107</v>
      </c>
    </row>
    <row r="6" spans="1:33" x14ac:dyDescent="0.2">
      <c r="A6" s="45" t="s">
        <v>108</v>
      </c>
      <c r="B6" s="44"/>
      <c r="C6" s="44" t="s">
        <v>109</v>
      </c>
      <c r="D6" s="44"/>
      <c r="E6" s="44"/>
      <c r="F6" s="44"/>
      <c r="G6" s="44"/>
      <c r="H6" s="44"/>
      <c r="I6" s="44"/>
      <c r="J6" s="44"/>
      <c r="K6" s="44"/>
      <c r="L6" s="44"/>
    </row>
    <row r="7" spans="1:33" x14ac:dyDescent="0.2">
      <c r="R7" s="41" t="s">
        <v>362</v>
      </c>
      <c r="U7" s="41" t="s">
        <v>360</v>
      </c>
      <c r="X7" s="41" t="s">
        <v>361</v>
      </c>
      <c r="AE7" s="41" t="s">
        <v>364</v>
      </c>
    </row>
    <row r="8" spans="1:33" x14ac:dyDescent="0.2">
      <c r="A8" s="40" t="s">
        <v>86</v>
      </c>
      <c r="B8" s="40" t="s">
        <v>112</v>
      </c>
      <c r="C8" s="40" t="s">
        <v>113</v>
      </c>
      <c r="D8" s="40" t="s">
        <v>114</v>
      </c>
      <c r="E8" s="40" t="s">
        <v>303</v>
      </c>
      <c r="F8" s="40" t="s">
        <v>108</v>
      </c>
      <c r="G8" s="40" t="s">
        <v>109</v>
      </c>
      <c r="J8" s="42" t="s">
        <v>115</v>
      </c>
      <c r="N8" s="41" t="s">
        <v>211</v>
      </c>
      <c r="R8" s="41" t="s">
        <v>359</v>
      </c>
      <c r="S8" s="41" t="s">
        <v>314</v>
      </c>
      <c r="T8" s="41" t="s">
        <v>315</v>
      </c>
      <c r="U8" s="41" t="s">
        <v>359</v>
      </c>
      <c r="V8" s="41" t="s">
        <v>314</v>
      </c>
      <c r="W8" s="41" t="s">
        <v>315</v>
      </c>
      <c r="X8" s="41" t="s">
        <v>109</v>
      </c>
      <c r="Y8" s="41" t="s">
        <v>353</v>
      </c>
      <c r="Z8" s="41" t="s">
        <v>71</v>
      </c>
      <c r="AA8" s="41" t="s">
        <v>354</v>
      </c>
      <c r="AB8" s="41" t="s">
        <v>355</v>
      </c>
      <c r="AC8" s="41" t="s">
        <v>356</v>
      </c>
      <c r="AD8" s="41" t="s">
        <v>357</v>
      </c>
      <c r="AE8" s="41" t="s">
        <v>354</v>
      </c>
      <c r="AF8" s="41" t="s">
        <v>356</v>
      </c>
      <c r="AG8" s="41" t="s">
        <v>357</v>
      </c>
    </row>
    <row r="9" spans="1:33" x14ac:dyDescent="0.2">
      <c r="A9" s="44">
        <v>2015</v>
      </c>
      <c r="B9" s="44" t="s">
        <v>351</v>
      </c>
      <c r="C9" s="44" t="s">
        <v>44</v>
      </c>
      <c r="D9" s="44" t="s">
        <v>305</v>
      </c>
      <c r="E9" s="44">
        <v>5.0000000000000001E-4</v>
      </c>
      <c r="F9" s="44"/>
      <c r="G9" s="44">
        <v>1952.125</v>
      </c>
      <c r="J9" s="41" t="s">
        <v>367</v>
      </c>
      <c r="M9" s="41">
        <v>2015</v>
      </c>
      <c r="N9" s="41" t="s">
        <v>351</v>
      </c>
      <c r="O9" s="41" t="s">
        <v>358</v>
      </c>
      <c r="P9" s="41" t="s">
        <v>44</v>
      </c>
      <c r="Q9" s="41" t="s">
        <v>305</v>
      </c>
      <c r="R9" s="41">
        <v>0.05</v>
      </c>
      <c r="S9" s="41">
        <v>0</v>
      </c>
      <c r="T9" s="41">
        <v>0.19</v>
      </c>
      <c r="U9" s="41">
        <f>R9/100</f>
        <v>5.0000000000000001E-4</v>
      </c>
      <c r="V9" s="41">
        <f t="shared" ref="V9:V14" si="0">S9/100</f>
        <v>0</v>
      </c>
      <c r="W9" s="41">
        <f t="shared" ref="W9:W14" si="1">T9/100</f>
        <v>1.9E-3</v>
      </c>
      <c r="X9" s="41">
        <v>1952.125</v>
      </c>
      <c r="Y9" s="41">
        <f>U9*X9</f>
        <v>0.97606250000000006</v>
      </c>
      <c r="Z9" s="41">
        <f>(1-U9)*X9</f>
        <v>1951.1489375000001</v>
      </c>
      <c r="AA9" s="41">
        <f t="shared" ref="AA9" si="2">Y9/(Y9+Z9)</f>
        <v>5.0000000000000001E-4</v>
      </c>
      <c r="AB9" s="41">
        <f>BETAINV(0.5,Y9,Z9)</f>
        <v>3.4332835123860759E-4</v>
      </c>
      <c r="AC9" s="41">
        <f>BETAINV(0.025,Y9,Z9)</f>
        <v>1.1720761008826899E-5</v>
      </c>
      <c r="AD9" s="41">
        <f>BETAINV(0.975,Y9,Z9)</f>
        <v>1.8629857168422914E-3</v>
      </c>
      <c r="AE9" s="41">
        <f>(U9-AA9)*100</f>
        <v>0</v>
      </c>
      <c r="AF9" s="41">
        <f>(V9-AC9)*100</f>
        <v>-1.17207610088269E-3</v>
      </c>
      <c r="AG9" s="41">
        <f>(W9-AD9)*100</f>
        <v>3.7014283157708579E-3</v>
      </c>
    </row>
    <row r="10" spans="1:33" x14ac:dyDescent="0.2">
      <c r="A10" s="43">
        <v>2015</v>
      </c>
      <c r="B10" s="43" t="s">
        <v>351</v>
      </c>
      <c r="C10" s="43" t="s">
        <v>44</v>
      </c>
      <c r="D10" s="43" t="s">
        <v>306</v>
      </c>
      <c r="E10" s="43">
        <v>4.0000000000000001E-3</v>
      </c>
      <c r="F10" s="43"/>
      <c r="G10" s="43">
        <v>832.74980000000005</v>
      </c>
      <c r="M10" s="41">
        <v>2015</v>
      </c>
      <c r="N10" s="41" t="s">
        <v>351</v>
      </c>
      <c r="P10" s="41" t="s">
        <v>44</v>
      </c>
      <c r="Q10" s="41" t="s">
        <v>306</v>
      </c>
      <c r="R10" s="41">
        <v>0.4</v>
      </c>
      <c r="S10" s="41">
        <v>0</v>
      </c>
      <c r="T10" s="41">
        <v>0.9</v>
      </c>
      <c r="U10" s="41">
        <f t="shared" ref="U10:U14" si="3">R10/100</f>
        <v>4.0000000000000001E-3</v>
      </c>
      <c r="V10" s="41">
        <f t="shared" si="0"/>
        <v>0</v>
      </c>
      <c r="W10" s="41">
        <f t="shared" si="1"/>
        <v>9.0000000000000011E-3</v>
      </c>
      <c r="X10" s="50">
        <v>832.74980000000005</v>
      </c>
      <c r="Y10" s="41">
        <f t="shared" ref="Y10:Y14" si="4">U10*X10</f>
        <v>3.3309992000000004</v>
      </c>
      <c r="Z10" s="41">
        <f t="shared" ref="Z10:Z14" si="5">(1-U10)*X10</f>
        <v>829.4188008000001</v>
      </c>
      <c r="AA10" s="41">
        <f t="shared" ref="AA10:AA14" si="6">Y10/(Y10+Z10)</f>
        <v>4.0000000000000001E-3</v>
      </c>
      <c r="AB10" s="41">
        <f t="shared" ref="AB10:AB14" si="7">BETAINV(0.5,Y10,Z10)</f>
        <v>3.6105056426739587E-3</v>
      </c>
      <c r="AC10" s="41">
        <f t="shared" ref="AC10:AC14" si="8">BETAINV(0.025,Y10,Z10)</f>
        <v>9.2202761545778734E-4</v>
      </c>
      <c r="AD10" s="41">
        <f t="shared" ref="AD10:AD14" si="9">BETAINV(0.975,Y10,Z10)</f>
        <v>9.2811279733401308E-3</v>
      </c>
      <c r="AE10" s="41">
        <f t="shared" ref="AE10:AE14" si="10">(U10-AA10)*100</f>
        <v>0</v>
      </c>
      <c r="AF10" s="41">
        <f t="shared" ref="AF10:AG14" si="11">(V10-AC10)*100</f>
        <v>-9.2202761545778736E-2</v>
      </c>
      <c r="AG10" s="41">
        <f t="shared" si="11"/>
        <v>-2.8112797334012979E-2</v>
      </c>
    </row>
    <row r="11" spans="1:33" x14ac:dyDescent="0.2">
      <c r="A11" s="44">
        <v>2015</v>
      </c>
      <c r="B11" s="44" t="s">
        <v>351</v>
      </c>
      <c r="C11" s="44" t="s">
        <v>44</v>
      </c>
      <c r="D11" s="44" t="s">
        <v>307</v>
      </c>
      <c r="E11" s="44">
        <v>4.8999999999999998E-3</v>
      </c>
      <c r="F11" s="44"/>
      <c r="G11" s="44">
        <v>698.88019999999995</v>
      </c>
      <c r="J11" s="41" t="s">
        <v>211</v>
      </c>
      <c r="M11" s="41">
        <v>2015</v>
      </c>
      <c r="N11" s="41" t="s">
        <v>351</v>
      </c>
      <c r="P11" s="41" t="s">
        <v>44</v>
      </c>
      <c r="Q11" s="41" t="s">
        <v>307</v>
      </c>
      <c r="R11" s="41">
        <v>0.49</v>
      </c>
      <c r="S11" s="41">
        <v>0</v>
      </c>
      <c r="T11" s="41">
        <v>1.0900000000000001</v>
      </c>
      <c r="U11" s="41">
        <f t="shared" si="3"/>
        <v>4.8999999999999998E-3</v>
      </c>
      <c r="V11" s="41">
        <f t="shared" si="0"/>
        <v>0</v>
      </c>
      <c r="W11" s="41">
        <f t="shared" si="1"/>
        <v>1.09E-2</v>
      </c>
      <c r="X11" s="41">
        <v>698.88019999999995</v>
      </c>
      <c r="Y11" s="41">
        <f t="shared" si="4"/>
        <v>3.4245129799999998</v>
      </c>
      <c r="Z11" s="41">
        <f t="shared" si="5"/>
        <v>695.45568701999991</v>
      </c>
      <c r="AA11" s="41">
        <f t="shared" si="6"/>
        <v>4.8999999999999998E-3</v>
      </c>
      <c r="AB11" s="41">
        <f t="shared" si="7"/>
        <v>4.4364007297861083E-3</v>
      </c>
      <c r="AC11" s="41">
        <f t="shared" si="8"/>
        <v>1.1612630545379549E-3</v>
      </c>
      <c r="AD11" s="41">
        <f t="shared" si="9"/>
        <v>1.1261219733418648E-2</v>
      </c>
      <c r="AE11" s="41">
        <f t="shared" si="10"/>
        <v>0</v>
      </c>
      <c r="AF11" s="41">
        <f t="shared" si="11"/>
        <v>-0.11612630545379549</v>
      </c>
      <c r="AG11" s="41">
        <f t="shared" si="11"/>
        <v>-3.6121973341864816E-2</v>
      </c>
    </row>
    <row r="12" spans="1:33" x14ac:dyDescent="0.2">
      <c r="A12" s="43">
        <v>2015</v>
      </c>
      <c r="B12" s="43" t="s">
        <v>351</v>
      </c>
      <c r="C12" s="43" t="s">
        <v>43</v>
      </c>
      <c r="D12" s="43" t="s">
        <v>305</v>
      </c>
      <c r="E12" s="43">
        <v>4.0000000000000001E-3</v>
      </c>
      <c r="F12" s="43"/>
      <c r="G12" s="43">
        <v>1350.3565000000001</v>
      </c>
      <c r="M12" s="41">
        <v>2015</v>
      </c>
      <c r="N12" s="41" t="s">
        <v>351</v>
      </c>
      <c r="P12" s="41" t="s">
        <v>43</v>
      </c>
      <c r="Q12" s="41" t="s">
        <v>305</v>
      </c>
      <c r="R12" s="41">
        <v>0.4</v>
      </c>
      <c r="S12" s="41">
        <v>0.05</v>
      </c>
      <c r="T12" s="41">
        <v>0.75</v>
      </c>
      <c r="U12" s="41">
        <f t="shared" si="3"/>
        <v>4.0000000000000001E-3</v>
      </c>
      <c r="V12" s="41">
        <f t="shared" si="0"/>
        <v>5.0000000000000001E-4</v>
      </c>
      <c r="W12" s="41">
        <f t="shared" si="1"/>
        <v>7.4999999999999997E-3</v>
      </c>
      <c r="X12" s="41">
        <v>1350.3565000000001</v>
      </c>
      <c r="Y12" s="41">
        <f>U12*X12</f>
        <v>5.4014260000000007</v>
      </c>
      <c r="Z12" s="41">
        <f>(1-U12)*X12</f>
        <v>1344.9550740000002</v>
      </c>
      <c r="AA12" s="41">
        <f t="shared" si="6"/>
        <v>4.0000000000000001E-3</v>
      </c>
      <c r="AB12" s="41">
        <f t="shared" si="7"/>
        <v>3.7578945147320859E-3</v>
      </c>
      <c r="AC12" s="41">
        <f t="shared" si="8"/>
        <v>1.3730663771715885E-3</v>
      </c>
      <c r="AD12" s="41">
        <f t="shared" si="9"/>
        <v>7.9990179343216727E-3</v>
      </c>
      <c r="AE12" s="41">
        <f t="shared" si="10"/>
        <v>0</v>
      </c>
      <c r="AF12" s="41">
        <f t="shared" si="11"/>
        <v>-8.7306637717158853E-2</v>
      </c>
      <c r="AG12" s="41">
        <f t="shared" si="11"/>
        <v>-4.9901793432167302E-2</v>
      </c>
    </row>
    <row r="13" spans="1:33" x14ac:dyDescent="0.2">
      <c r="A13" s="44">
        <v>2015</v>
      </c>
      <c r="B13" s="44" t="s">
        <v>351</v>
      </c>
      <c r="C13" s="44" t="s">
        <v>43</v>
      </c>
      <c r="D13" s="44" t="s">
        <v>306</v>
      </c>
      <c r="E13" s="44">
        <v>8.6999999999999994E-3</v>
      </c>
      <c r="F13" s="44"/>
      <c r="G13" s="44">
        <v>649.91010000000006</v>
      </c>
      <c r="M13" s="41">
        <v>2015</v>
      </c>
      <c r="N13" s="41" t="s">
        <v>351</v>
      </c>
      <c r="P13" s="41" t="s">
        <v>43</v>
      </c>
      <c r="Q13" s="41" t="s">
        <v>306</v>
      </c>
      <c r="R13" s="41">
        <v>0.87</v>
      </c>
      <c r="S13" s="41">
        <v>0.26</v>
      </c>
      <c r="T13" s="41">
        <v>1.48</v>
      </c>
      <c r="U13" s="41">
        <f t="shared" si="3"/>
        <v>8.6999999999999994E-3</v>
      </c>
      <c r="V13" s="41">
        <f t="shared" si="0"/>
        <v>2.5999999999999999E-3</v>
      </c>
      <c r="W13" s="41">
        <f t="shared" si="1"/>
        <v>1.4800000000000001E-2</v>
      </c>
      <c r="X13" s="41">
        <v>649.91010000000006</v>
      </c>
      <c r="Y13" s="41">
        <f t="shared" si="4"/>
        <v>5.6542178700000001</v>
      </c>
      <c r="Z13" s="41">
        <f t="shared" si="5"/>
        <v>644.25588213000003</v>
      </c>
      <c r="AA13" s="41">
        <f t="shared" si="6"/>
        <v>8.6999999999999994E-3</v>
      </c>
      <c r="AB13" s="41">
        <f t="shared" si="7"/>
        <v>8.2012230304592017E-3</v>
      </c>
      <c r="AC13" s="41">
        <f t="shared" si="8"/>
        <v>3.08470534149477E-3</v>
      </c>
      <c r="AD13" s="41">
        <f t="shared" si="9"/>
        <v>1.7141657558672363E-2</v>
      </c>
      <c r="AE13" s="41">
        <f t="shared" si="10"/>
        <v>0</v>
      </c>
      <c r="AF13" s="41">
        <f t="shared" si="11"/>
        <v>-4.8470534149477017E-2</v>
      </c>
      <c r="AG13" s="41">
        <f t="shared" si="11"/>
        <v>-0.23416575586723623</v>
      </c>
    </row>
    <row r="14" spans="1:33" x14ac:dyDescent="0.2">
      <c r="A14" s="43">
        <v>2015</v>
      </c>
      <c r="B14" s="43" t="s">
        <v>351</v>
      </c>
      <c r="C14" s="43" t="s">
        <v>43</v>
      </c>
      <c r="D14" s="43" t="s">
        <v>307</v>
      </c>
      <c r="E14" s="43">
        <v>5.9999999999999995E-4</v>
      </c>
      <c r="F14" s="43"/>
      <c r="G14" s="43">
        <v>1219.7030999999999</v>
      </c>
      <c r="M14" s="41">
        <v>2015</v>
      </c>
      <c r="N14" s="41" t="s">
        <v>351</v>
      </c>
      <c r="P14" s="41" t="s">
        <v>43</v>
      </c>
      <c r="Q14" s="41" t="s">
        <v>307</v>
      </c>
      <c r="R14" s="41">
        <v>0.06</v>
      </c>
      <c r="S14" s="41">
        <v>0</v>
      </c>
      <c r="T14" s="41">
        <v>0.25</v>
      </c>
      <c r="U14" s="41">
        <f t="shared" si="3"/>
        <v>5.9999999999999995E-4</v>
      </c>
      <c r="V14" s="41">
        <f t="shared" si="0"/>
        <v>0</v>
      </c>
      <c r="W14" s="41">
        <f t="shared" si="1"/>
        <v>2.5000000000000001E-3</v>
      </c>
      <c r="X14" s="41">
        <v>1219.7030999999999</v>
      </c>
      <c r="Y14" s="41">
        <f t="shared" si="4"/>
        <v>0.73182185999999994</v>
      </c>
      <c r="Z14" s="41">
        <f t="shared" si="5"/>
        <v>1218.9712781399999</v>
      </c>
      <c r="AA14" s="41">
        <f t="shared" si="6"/>
        <v>5.9999999999999995E-4</v>
      </c>
      <c r="AB14" s="41">
        <f t="shared" si="7"/>
        <v>3.5857017286681142E-4</v>
      </c>
      <c r="AC14" s="41">
        <f t="shared" si="8"/>
        <v>4.7170800166047049E-6</v>
      </c>
      <c r="AD14" s="41">
        <f t="shared" si="9"/>
        <v>2.5364775123583039E-3</v>
      </c>
      <c r="AE14" s="41">
        <f t="shared" si="10"/>
        <v>0</v>
      </c>
      <c r="AF14" s="41">
        <f t="shared" si="11"/>
        <v>-4.7170800166047047E-4</v>
      </c>
      <c r="AG14" s="41">
        <f t="shared" si="11"/>
        <v>-3.6477512358303824E-3</v>
      </c>
    </row>
    <row r="15" spans="1:33" x14ac:dyDescent="0.2">
      <c r="A15" s="44"/>
      <c r="B15" s="44"/>
      <c r="C15" s="44"/>
      <c r="D15" s="44"/>
      <c r="E15" s="44"/>
      <c r="F15" s="44"/>
      <c r="G15" s="44"/>
    </row>
    <row r="16" spans="1:33" x14ac:dyDescent="0.2">
      <c r="A16" s="43"/>
      <c r="B16" s="43"/>
      <c r="C16" s="43"/>
      <c r="D16" s="43"/>
      <c r="E16" s="43"/>
      <c r="F16" s="43"/>
      <c r="G16" s="43"/>
    </row>
    <row r="17" spans="1:21" x14ac:dyDescent="0.2">
      <c r="A17" s="44"/>
      <c r="B17" s="44"/>
      <c r="C17" s="44"/>
      <c r="D17" s="44"/>
      <c r="E17" s="44"/>
      <c r="F17" s="44"/>
      <c r="G17" s="44"/>
      <c r="R17" s="41" t="s">
        <v>211</v>
      </c>
      <c r="U17" s="41" t="s">
        <v>211</v>
      </c>
    </row>
    <row r="18" spans="1:21" x14ac:dyDescent="0.2">
      <c r="A18" s="43"/>
      <c r="B18" s="43"/>
      <c r="C18" s="43"/>
      <c r="D18" s="43"/>
      <c r="E18" s="43"/>
      <c r="F18" s="43"/>
      <c r="G18" s="43"/>
    </row>
    <row r="19" spans="1:21" x14ac:dyDescent="0.2">
      <c r="A19" s="44"/>
      <c r="B19" s="44"/>
      <c r="C19" s="44"/>
      <c r="D19" s="44"/>
      <c r="E19" s="44"/>
      <c r="F19" s="44"/>
      <c r="G19" s="44"/>
    </row>
    <row r="20" spans="1:21" x14ac:dyDescent="0.2">
      <c r="A20" s="43"/>
      <c r="B20" s="43"/>
      <c r="C20" s="43"/>
      <c r="D20" s="43"/>
      <c r="E20" s="43"/>
      <c r="F20" s="43"/>
      <c r="G20" s="43"/>
    </row>
    <row r="21" spans="1:21" x14ac:dyDescent="0.2">
      <c r="A21" s="44"/>
      <c r="B21" s="44"/>
      <c r="C21" s="44"/>
      <c r="D21" s="44"/>
      <c r="E21" s="44"/>
      <c r="F21" s="44"/>
      <c r="G21" s="44"/>
      <c r="R21" s="50"/>
      <c r="S21" s="50"/>
    </row>
    <row r="22" spans="1:21" x14ac:dyDescent="0.2">
      <c r="A22" s="43"/>
      <c r="B22" s="43"/>
      <c r="C22" s="43"/>
      <c r="D22" s="43"/>
      <c r="E22" s="43"/>
      <c r="F22" s="43"/>
      <c r="G22" s="43"/>
    </row>
    <row r="23" spans="1:21" x14ac:dyDescent="0.2">
      <c r="A23" s="44"/>
      <c r="B23" s="44"/>
      <c r="C23" s="44"/>
      <c r="D23" s="44"/>
      <c r="E23" s="44"/>
      <c r="F23" s="44"/>
      <c r="G23" s="44"/>
    </row>
    <row r="24" spans="1:21" x14ac:dyDescent="0.2">
      <c r="A24" s="43"/>
      <c r="B24" s="43"/>
      <c r="C24" s="43"/>
      <c r="D24" s="43"/>
      <c r="E24" s="43"/>
      <c r="F24" s="43"/>
      <c r="G24" s="43"/>
    </row>
    <row r="25" spans="1:21" x14ac:dyDescent="0.2">
      <c r="A25" s="44"/>
      <c r="B25" s="44"/>
      <c r="C25" s="44"/>
      <c r="D25" s="44"/>
      <c r="E25" s="44"/>
      <c r="F25" s="44"/>
      <c r="G25" s="44"/>
    </row>
    <row r="26" spans="1:21" x14ac:dyDescent="0.2">
      <c r="A26" s="43"/>
      <c r="B26" s="43"/>
      <c r="C26" s="43"/>
      <c r="D26" s="43"/>
      <c r="E26" s="43"/>
      <c r="F26" s="43"/>
      <c r="G26" s="43"/>
    </row>
    <row r="27" spans="1:21" x14ac:dyDescent="0.2">
      <c r="A27" s="44"/>
      <c r="B27" s="44"/>
      <c r="C27" s="44"/>
      <c r="D27" s="44"/>
      <c r="E27" s="44"/>
      <c r="F27" s="44"/>
      <c r="G27" s="44"/>
    </row>
    <row r="28" spans="1:21" x14ac:dyDescent="0.2">
      <c r="A28" s="43"/>
      <c r="B28" s="43"/>
      <c r="C28" s="43"/>
      <c r="D28" s="43"/>
      <c r="E28" s="43"/>
      <c r="F28" s="43"/>
      <c r="G28" s="43"/>
    </row>
    <row r="29" spans="1:21" x14ac:dyDescent="0.2">
      <c r="A29" s="44"/>
      <c r="B29" s="44"/>
      <c r="C29" s="44"/>
      <c r="D29" s="44"/>
      <c r="E29" s="44"/>
      <c r="F29" s="44"/>
      <c r="G29" s="44"/>
    </row>
    <row r="30" spans="1:21" x14ac:dyDescent="0.2">
      <c r="A30" s="43"/>
      <c r="B30" s="43"/>
      <c r="C30" s="43"/>
      <c r="D30" s="43"/>
      <c r="E30" s="43"/>
      <c r="F30" s="43"/>
      <c r="G30" s="43"/>
    </row>
    <row r="31" spans="1:21" x14ac:dyDescent="0.2">
      <c r="A31" s="44"/>
      <c r="B31" s="44"/>
      <c r="C31" s="44"/>
      <c r="D31" s="44"/>
      <c r="E31" s="44"/>
      <c r="F31" s="44"/>
      <c r="G31" s="44"/>
    </row>
    <row r="32" spans="1:21" x14ac:dyDescent="0.2">
      <c r="A32" s="43"/>
      <c r="B32" s="43"/>
      <c r="C32" s="43"/>
      <c r="D32" s="43"/>
      <c r="E32" s="43"/>
      <c r="F32" s="43"/>
      <c r="G32" s="43"/>
    </row>
    <row r="33" spans="1:7" x14ac:dyDescent="0.2">
      <c r="A33" s="44"/>
      <c r="B33" s="44"/>
      <c r="C33" s="44"/>
      <c r="D33" s="44"/>
      <c r="E33" s="44"/>
      <c r="F33" s="44"/>
      <c r="G33" s="44"/>
    </row>
    <row r="34" spans="1:7" x14ac:dyDescent="0.2">
      <c r="A34" s="43"/>
      <c r="B34" s="43"/>
      <c r="C34" s="43"/>
      <c r="D34" s="43"/>
      <c r="E34" s="43"/>
      <c r="F34" s="43"/>
      <c r="G34" s="43"/>
    </row>
    <row r="35" spans="1:7" x14ac:dyDescent="0.2">
      <c r="A35" s="44"/>
      <c r="B35" s="44"/>
      <c r="C35" s="44"/>
      <c r="D35" s="44"/>
      <c r="E35" s="44"/>
      <c r="F35" s="44"/>
      <c r="G35" s="44"/>
    </row>
    <row r="36" spans="1:7" x14ac:dyDescent="0.2">
      <c r="A36" s="43"/>
      <c r="B36" s="43"/>
      <c r="C36" s="43"/>
      <c r="D36" s="43"/>
      <c r="E36" s="43"/>
      <c r="F36" s="43"/>
      <c r="G36" s="43"/>
    </row>
    <row r="37" spans="1:7" x14ac:dyDescent="0.2">
      <c r="A37" s="44"/>
      <c r="B37" s="44"/>
      <c r="C37" s="44"/>
      <c r="D37" s="44"/>
      <c r="E37" s="44"/>
      <c r="F37" s="44"/>
      <c r="G37" s="44"/>
    </row>
    <row r="38" spans="1:7" x14ac:dyDescent="0.2">
      <c r="A38" s="43"/>
      <c r="B38" s="43"/>
      <c r="C38" s="43"/>
      <c r="D38" s="43"/>
      <c r="E38" s="43"/>
      <c r="F38" s="43"/>
      <c r="G38" s="43"/>
    </row>
    <row r="39" spans="1:7" x14ac:dyDescent="0.2">
      <c r="A39" s="44"/>
      <c r="B39" s="44"/>
      <c r="C39" s="44"/>
      <c r="D39" s="44"/>
      <c r="E39" s="44"/>
      <c r="F39" s="44"/>
      <c r="G39" s="44"/>
    </row>
    <row r="40" spans="1:7" x14ac:dyDescent="0.2">
      <c r="A40" s="43"/>
      <c r="B40" s="43"/>
      <c r="C40" s="43"/>
      <c r="D40" s="43"/>
      <c r="E40" s="43"/>
      <c r="F40" s="43"/>
      <c r="G40" s="43"/>
    </row>
    <row r="41" spans="1:7" x14ac:dyDescent="0.2">
      <c r="A41" s="44"/>
      <c r="B41" s="44"/>
      <c r="C41" s="44"/>
      <c r="D41" s="44"/>
      <c r="E41" s="44"/>
      <c r="F41" s="44"/>
      <c r="G41" s="44"/>
    </row>
    <row r="42" spans="1:7" x14ac:dyDescent="0.2">
      <c r="A42" s="43"/>
      <c r="B42" s="43"/>
      <c r="C42" s="43"/>
      <c r="D42" s="43"/>
      <c r="E42" s="43"/>
      <c r="F42" s="43"/>
      <c r="G42" s="43"/>
    </row>
    <row r="43" spans="1:7" x14ac:dyDescent="0.2">
      <c r="A43" s="44"/>
      <c r="B43" s="44"/>
      <c r="C43" s="44"/>
      <c r="D43" s="44"/>
      <c r="E43" s="44"/>
      <c r="F43" s="44"/>
      <c r="G43" s="44"/>
    </row>
    <row r="44" spans="1:7" x14ac:dyDescent="0.2">
      <c r="A44" s="43"/>
      <c r="B44" s="43"/>
      <c r="C44" s="43"/>
      <c r="D44" s="43"/>
      <c r="E44" s="43"/>
      <c r="F44" s="43"/>
      <c r="G44" s="43"/>
    </row>
    <row r="45" spans="1:7" x14ac:dyDescent="0.2">
      <c r="A45" s="44"/>
      <c r="B45" s="44"/>
      <c r="C45" s="44"/>
      <c r="D45" s="44"/>
      <c r="E45" s="44"/>
      <c r="F45" s="44"/>
      <c r="G45" s="44"/>
    </row>
    <row r="46" spans="1:7" x14ac:dyDescent="0.2">
      <c r="A46" s="43"/>
      <c r="B46" s="43"/>
      <c r="C46" s="43"/>
      <c r="D46" s="43"/>
      <c r="E46" s="43"/>
      <c r="F46" s="43"/>
      <c r="G46" s="43"/>
    </row>
    <row r="47" spans="1:7" x14ac:dyDescent="0.2">
      <c r="A47" s="44"/>
      <c r="B47" s="44"/>
      <c r="C47" s="44"/>
      <c r="D47" s="44"/>
      <c r="E47" s="44"/>
      <c r="F47" s="44"/>
      <c r="G47" s="44"/>
    </row>
    <row r="48" spans="1:7" x14ac:dyDescent="0.2">
      <c r="A48" s="43"/>
      <c r="B48" s="43"/>
      <c r="C48" s="43"/>
      <c r="D48" s="43"/>
      <c r="E48" s="43"/>
      <c r="F48" s="43"/>
      <c r="G48" s="43"/>
    </row>
    <row r="49" spans="1:7" x14ac:dyDescent="0.2">
      <c r="A49" s="44"/>
      <c r="B49" s="44"/>
      <c r="C49" s="44"/>
      <c r="D49" s="44"/>
      <c r="E49" s="44"/>
      <c r="F49" s="44"/>
      <c r="G49" s="44"/>
    </row>
    <row r="50" spans="1:7" x14ac:dyDescent="0.2">
      <c r="A50" s="43"/>
      <c r="B50" s="43"/>
      <c r="C50" s="43"/>
      <c r="D50" s="43"/>
      <c r="E50" s="43"/>
      <c r="F50" s="43"/>
      <c r="G50" s="43"/>
    </row>
    <row r="51" spans="1:7" x14ac:dyDescent="0.2">
      <c r="A51" s="44"/>
      <c r="B51" s="44"/>
      <c r="C51" s="44"/>
      <c r="D51" s="44"/>
      <c r="E51" s="44"/>
      <c r="F51" s="44"/>
      <c r="G51" s="44"/>
    </row>
    <row r="52" spans="1:7" x14ac:dyDescent="0.2">
      <c r="A52" s="43"/>
      <c r="B52" s="43"/>
      <c r="C52" s="43"/>
      <c r="D52" s="43"/>
      <c r="E52" s="43"/>
      <c r="F52" s="43"/>
      <c r="G52" s="43"/>
    </row>
    <row r="53" spans="1:7" x14ac:dyDescent="0.2">
      <c r="A53" s="44"/>
      <c r="B53" s="44"/>
      <c r="C53" s="44"/>
      <c r="D53" s="44"/>
      <c r="E53" s="44"/>
      <c r="F53" s="44"/>
      <c r="G53" s="44"/>
    </row>
    <row r="54" spans="1:7" x14ac:dyDescent="0.2">
      <c r="A54" s="43"/>
      <c r="B54" s="43"/>
      <c r="C54" s="43"/>
      <c r="D54" s="43"/>
      <c r="E54" s="43"/>
      <c r="F54" s="43"/>
      <c r="G54" s="43"/>
    </row>
    <row r="55" spans="1:7" x14ac:dyDescent="0.2">
      <c r="A55" s="44"/>
      <c r="B55" s="44"/>
      <c r="C55" s="44"/>
      <c r="D55" s="44"/>
      <c r="E55" s="44"/>
      <c r="F55" s="44"/>
      <c r="G55" s="44"/>
    </row>
    <row r="56" spans="1:7" x14ac:dyDescent="0.2">
      <c r="A56" s="43"/>
      <c r="B56" s="43"/>
      <c r="C56" s="43"/>
      <c r="D56" s="43"/>
      <c r="E56" s="43"/>
      <c r="F56" s="43"/>
      <c r="G56" s="43"/>
    </row>
    <row r="57" spans="1:7" x14ac:dyDescent="0.2">
      <c r="A57" s="44"/>
      <c r="B57" s="44"/>
      <c r="C57" s="44"/>
      <c r="D57" s="44"/>
      <c r="E57" s="44"/>
      <c r="F57" s="44"/>
      <c r="G57" s="44"/>
    </row>
    <row r="58" spans="1:7" x14ac:dyDescent="0.2">
      <c r="A58" s="43"/>
      <c r="B58" s="43"/>
      <c r="C58" s="43"/>
      <c r="D58" s="43"/>
      <c r="E58" s="43"/>
      <c r="F58" s="43"/>
      <c r="G58" s="43"/>
    </row>
    <row r="59" spans="1:7" x14ac:dyDescent="0.2">
      <c r="A59" s="44"/>
      <c r="B59" s="44"/>
      <c r="C59" s="44"/>
      <c r="D59" s="44"/>
      <c r="E59" s="44"/>
      <c r="F59" s="44"/>
      <c r="G59" s="44"/>
    </row>
    <row r="60" spans="1:7" x14ac:dyDescent="0.2">
      <c r="A60" s="43"/>
      <c r="B60" s="43"/>
      <c r="C60" s="43"/>
      <c r="D60" s="43"/>
      <c r="E60" s="43"/>
      <c r="F60" s="43"/>
      <c r="G60" s="43"/>
    </row>
    <row r="61" spans="1:7" x14ac:dyDescent="0.2">
      <c r="A61" s="44"/>
      <c r="B61" s="44"/>
      <c r="C61" s="44"/>
      <c r="D61" s="44"/>
      <c r="E61" s="44"/>
      <c r="F61" s="44"/>
      <c r="G61" s="44"/>
    </row>
    <row r="62" spans="1:7" x14ac:dyDescent="0.2">
      <c r="A62" s="43"/>
      <c r="B62" s="43"/>
      <c r="C62" s="43"/>
      <c r="D62" s="43"/>
      <c r="E62" s="43"/>
      <c r="F62" s="43"/>
      <c r="G62" s="43"/>
    </row>
    <row r="63" spans="1:7" x14ac:dyDescent="0.2">
      <c r="A63" s="44"/>
      <c r="B63" s="44"/>
      <c r="C63" s="44"/>
      <c r="D63" s="44"/>
      <c r="E63" s="44"/>
      <c r="F63" s="44"/>
      <c r="G63" s="44"/>
    </row>
    <row r="64" spans="1:7" x14ac:dyDescent="0.2">
      <c r="A64" s="43"/>
      <c r="B64" s="43"/>
      <c r="C64" s="43"/>
      <c r="D64" s="43"/>
      <c r="E64" s="43"/>
      <c r="F64" s="43"/>
      <c r="G64" s="43"/>
    </row>
    <row r="65" spans="1:7" x14ac:dyDescent="0.2">
      <c r="A65" s="44"/>
      <c r="B65" s="44"/>
      <c r="C65" s="44"/>
      <c r="D65" s="44"/>
      <c r="E65" s="44"/>
      <c r="F65" s="44"/>
      <c r="G65" s="44"/>
    </row>
    <row r="66" spans="1:7" x14ac:dyDescent="0.2">
      <c r="A66" s="43"/>
      <c r="B66" s="43"/>
      <c r="C66" s="43"/>
      <c r="D66" s="43"/>
      <c r="E66" s="43"/>
      <c r="F66" s="43"/>
      <c r="G66" s="43"/>
    </row>
    <row r="67" spans="1:7" x14ac:dyDescent="0.2">
      <c r="A67" s="44"/>
      <c r="B67" s="44"/>
      <c r="C67" s="44"/>
      <c r="D67" s="44"/>
      <c r="E67" s="44"/>
      <c r="F67" s="44"/>
      <c r="G67" s="44"/>
    </row>
    <row r="68" spans="1:7" x14ac:dyDescent="0.2">
      <c r="A68" s="43"/>
      <c r="B68" s="43"/>
      <c r="C68" s="43"/>
      <c r="D68" s="43"/>
      <c r="E68" s="43"/>
      <c r="F68" s="43"/>
      <c r="G68" s="43"/>
    </row>
    <row r="69" spans="1:7" x14ac:dyDescent="0.2">
      <c r="A69" s="44"/>
      <c r="B69" s="44"/>
      <c r="C69" s="44"/>
      <c r="D69" s="44"/>
      <c r="E69" s="44"/>
      <c r="F69" s="44"/>
      <c r="G69" s="44"/>
    </row>
    <row r="70" spans="1:7" x14ac:dyDescent="0.2">
      <c r="A70" s="43"/>
      <c r="B70" s="43"/>
      <c r="C70" s="43"/>
      <c r="D70" s="43"/>
      <c r="E70" s="43"/>
      <c r="F70" s="43"/>
      <c r="G70" s="43"/>
    </row>
    <row r="71" spans="1:7" x14ac:dyDescent="0.2">
      <c r="A71" s="44"/>
      <c r="B71" s="44"/>
      <c r="C71" s="44"/>
      <c r="D71" s="44"/>
      <c r="E71" s="44"/>
      <c r="F71" s="44"/>
      <c r="G71" s="44"/>
    </row>
    <row r="72" spans="1:7" x14ac:dyDescent="0.2">
      <c r="A72" s="43"/>
      <c r="B72" s="43"/>
      <c r="C72" s="43"/>
      <c r="D72" s="43"/>
      <c r="E72" s="43"/>
      <c r="F72" s="43"/>
      <c r="G72" s="43"/>
    </row>
    <row r="73" spans="1:7" x14ac:dyDescent="0.2">
      <c r="A73" s="44"/>
      <c r="B73" s="44"/>
      <c r="C73" s="44"/>
      <c r="D73" s="44"/>
      <c r="E73" s="44"/>
      <c r="F73" s="44"/>
      <c r="G73" s="44"/>
    </row>
    <row r="74" spans="1:7" x14ac:dyDescent="0.2">
      <c r="A74" s="43"/>
      <c r="B74" s="43"/>
      <c r="C74" s="43"/>
      <c r="D74" s="43"/>
      <c r="E74" s="43"/>
      <c r="F74" s="43"/>
      <c r="G74" s="43"/>
    </row>
    <row r="75" spans="1:7" x14ac:dyDescent="0.2">
      <c r="A75" s="44"/>
      <c r="B75" s="44"/>
      <c r="C75" s="44"/>
      <c r="D75" s="44"/>
      <c r="E75" s="44"/>
      <c r="F75" s="44"/>
      <c r="G75" s="44"/>
    </row>
    <row r="76" spans="1:7" x14ac:dyDescent="0.2">
      <c r="A76" s="43"/>
      <c r="B76" s="43"/>
      <c r="C76" s="43"/>
      <c r="D76" s="43"/>
      <c r="E76" s="43"/>
      <c r="F76" s="43"/>
      <c r="G76" s="43"/>
    </row>
    <row r="77" spans="1:7" x14ac:dyDescent="0.2">
      <c r="A77" s="44"/>
      <c r="B77" s="44"/>
      <c r="C77" s="44"/>
      <c r="D77" s="44"/>
      <c r="E77" s="44"/>
      <c r="F77" s="44"/>
      <c r="G77" s="44"/>
    </row>
    <row r="78" spans="1:7" x14ac:dyDescent="0.2">
      <c r="A78" s="43"/>
      <c r="B78" s="43"/>
      <c r="C78" s="43"/>
      <c r="D78" s="43"/>
      <c r="E78" s="43"/>
      <c r="F78" s="43"/>
      <c r="G78" s="43"/>
    </row>
    <row r="79" spans="1:7" x14ac:dyDescent="0.2">
      <c r="A79" s="44"/>
      <c r="B79" s="44"/>
      <c r="C79" s="44"/>
      <c r="D79" s="44"/>
      <c r="E79" s="44"/>
      <c r="F79" s="44"/>
      <c r="G79" s="44"/>
    </row>
    <row r="80" spans="1:7" x14ac:dyDescent="0.2">
      <c r="A80" s="43"/>
      <c r="B80" s="43"/>
      <c r="C80" s="43"/>
      <c r="D80" s="43"/>
      <c r="E80" s="43"/>
      <c r="F80" s="43"/>
      <c r="G80" s="43"/>
    </row>
    <row r="81" spans="1:7" x14ac:dyDescent="0.2">
      <c r="A81" s="44"/>
      <c r="B81" s="44"/>
      <c r="C81" s="44"/>
      <c r="D81" s="44"/>
      <c r="E81" s="44"/>
      <c r="F81" s="44"/>
      <c r="G81" s="44"/>
    </row>
    <row r="82" spans="1:7" x14ac:dyDescent="0.2">
      <c r="A82" s="43"/>
      <c r="B82" s="43"/>
      <c r="C82" s="43"/>
      <c r="D82" s="43"/>
      <c r="E82" s="43"/>
      <c r="F82" s="43"/>
      <c r="G82" s="43"/>
    </row>
    <row r="83" spans="1:7" x14ac:dyDescent="0.2">
      <c r="A83" s="44"/>
      <c r="B83" s="44"/>
      <c r="C83" s="44"/>
      <c r="D83" s="44"/>
      <c r="E83" s="44"/>
      <c r="F83" s="44"/>
      <c r="G83" s="44"/>
    </row>
    <row r="84" spans="1:7" x14ac:dyDescent="0.2">
      <c r="A84" s="43"/>
      <c r="B84" s="43"/>
      <c r="C84" s="43"/>
      <c r="D84" s="43"/>
      <c r="E84" s="43"/>
      <c r="F84" s="43"/>
      <c r="G84" s="43"/>
    </row>
    <row r="85" spans="1:7" x14ac:dyDescent="0.2">
      <c r="A85" s="44"/>
      <c r="B85" s="44"/>
      <c r="C85" s="44"/>
      <c r="D85" s="44"/>
      <c r="E85" s="44"/>
      <c r="F85" s="44"/>
      <c r="G85" s="44"/>
    </row>
    <row r="86" spans="1:7" x14ac:dyDescent="0.2">
      <c r="A86" s="43"/>
      <c r="B86" s="43"/>
      <c r="C86" s="43"/>
      <c r="D86" s="43"/>
      <c r="E86" s="43"/>
      <c r="F86" s="43"/>
      <c r="G86" s="43"/>
    </row>
    <row r="87" spans="1:7" x14ac:dyDescent="0.2">
      <c r="A87" s="44"/>
      <c r="B87" s="44"/>
      <c r="C87" s="44"/>
      <c r="D87" s="44"/>
      <c r="E87" s="44"/>
      <c r="F87" s="44"/>
      <c r="G87" s="44"/>
    </row>
    <row r="88" spans="1:7" x14ac:dyDescent="0.2">
      <c r="A88" s="43"/>
      <c r="B88" s="43"/>
      <c r="C88" s="43"/>
      <c r="D88" s="43"/>
      <c r="E88" s="43"/>
      <c r="F88" s="43"/>
      <c r="G88" s="43"/>
    </row>
    <row r="89" spans="1:7" x14ac:dyDescent="0.2">
      <c r="A89" s="44"/>
      <c r="B89" s="44"/>
      <c r="C89" s="44"/>
      <c r="D89" s="44"/>
      <c r="E89" s="44"/>
      <c r="F89" s="44"/>
      <c r="G89" s="44"/>
    </row>
    <row r="90" spans="1:7" x14ac:dyDescent="0.2">
      <c r="A90" s="43"/>
      <c r="B90" s="43"/>
      <c r="C90" s="43"/>
      <c r="D90" s="43"/>
      <c r="E90" s="43"/>
      <c r="F90" s="43"/>
      <c r="G90" s="43"/>
    </row>
    <row r="91" spans="1:7" x14ac:dyDescent="0.2">
      <c r="A91" s="44"/>
      <c r="B91" s="44"/>
      <c r="C91" s="44"/>
      <c r="D91" s="44"/>
      <c r="E91" s="44"/>
      <c r="F91" s="44"/>
      <c r="G91" s="44"/>
    </row>
    <row r="92" spans="1:7" x14ac:dyDescent="0.2">
      <c r="A92" s="43"/>
      <c r="B92" s="43"/>
      <c r="C92" s="43"/>
      <c r="D92" s="43"/>
      <c r="E92" s="43"/>
      <c r="F92" s="43"/>
      <c r="G92" s="43"/>
    </row>
    <row r="93" spans="1:7" x14ac:dyDescent="0.2">
      <c r="A93" s="44"/>
      <c r="B93" s="44"/>
      <c r="C93" s="44"/>
      <c r="D93" s="44"/>
      <c r="E93" s="44"/>
      <c r="F93" s="44"/>
      <c r="G93" s="44"/>
    </row>
    <row r="94" spans="1:7" x14ac:dyDescent="0.2">
      <c r="A94" s="43"/>
      <c r="B94" s="43"/>
      <c r="C94" s="43"/>
      <c r="D94" s="43"/>
      <c r="E94" s="43"/>
      <c r="F94" s="43"/>
      <c r="G94" s="43"/>
    </row>
    <row r="95" spans="1:7" x14ac:dyDescent="0.2">
      <c r="A95" s="44"/>
      <c r="B95" s="44"/>
      <c r="C95" s="44"/>
      <c r="D95" s="44"/>
      <c r="E95" s="44"/>
      <c r="F95" s="44"/>
      <c r="G95" s="44"/>
    </row>
    <row r="96" spans="1:7" x14ac:dyDescent="0.2">
      <c r="A96" s="43"/>
      <c r="B96" s="43"/>
      <c r="C96" s="43"/>
      <c r="D96" s="43"/>
      <c r="E96" s="43"/>
      <c r="F96" s="43"/>
      <c r="G96" s="43"/>
    </row>
    <row r="97" spans="1:7" x14ac:dyDescent="0.2">
      <c r="A97" s="44"/>
      <c r="B97" s="44"/>
      <c r="C97" s="44"/>
      <c r="D97" s="44"/>
      <c r="E97" s="44"/>
      <c r="F97" s="44"/>
      <c r="G97" s="44"/>
    </row>
    <row r="98" spans="1:7" x14ac:dyDescent="0.2">
      <c r="A98" s="43"/>
      <c r="B98" s="43"/>
      <c r="C98" s="43"/>
      <c r="D98" s="43"/>
      <c r="E98" s="43"/>
      <c r="F98" s="43"/>
      <c r="G98" s="43"/>
    </row>
    <row r="99" spans="1:7" x14ac:dyDescent="0.2">
      <c r="A99" s="44"/>
      <c r="B99" s="44"/>
      <c r="C99" s="44"/>
      <c r="D99" s="44"/>
      <c r="E99" s="44"/>
      <c r="F99" s="44"/>
      <c r="G99" s="44"/>
    </row>
    <row r="100" spans="1:7" x14ac:dyDescent="0.2">
      <c r="A100" s="43"/>
      <c r="B100" s="43"/>
      <c r="C100" s="43"/>
      <c r="D100" s="43"/>
      <c r="E100" s="43"/>
      <c r="F100" s="43"/>
      <c r="G100" s="43"/>
    </row>
    <row r="101" spans="1:7" x14ac:dyDescent="0.2">
      <c r="A101" s="44"/>
      <c r="B101" s="44"/>
      <c r="C101" s="44"/>
      <c r="D101" s="44"/>
      <c r="E101" s="44"/>
      <c r="F101" s="44"/>
      <c r="G101" s="44"/>
    </row>
    <row r="102" spans="1:7" x14ac:dyDescent="0.2">
      <c r="A102" s="43"/>
      <c r="B102" s="43"/>
      <c r="C102" s="43"/>
      <c r="D102" s="43"/>
      <c r="E102" s="43"/>
      <c r="F102" s="43"/>
      <c r="G102" s="43"/>
    </row>
    <row r="103" spans="1:7" x14ac:dyDescent="0.2">
      <c r="A103" s="44"/>
      <c r="B103" s="44"/>
      <c r="C103" s="44"/>
      <c r="D103" s="44"/>
      <c r="E103" s="44"/>
      <c r="F103" s="44"/>
      <c r="G103" s="44"/>
    </row>
    <row r="104" spans="1:7" x14ac:dyDescent="0.2">
      <c r="A104" s="43"/>
      <c r="B104" s="43"/>
      <c r="C104" s="43"/>
      <c r="D104" s="43"/>
      <c r="E104" s="43"/>
      <c r="F104" s="43"/>
      <c r="G104" s="43"/>
    </row>
    <row r="105" spans="1:7" x14ac:dyDescent="0.2">
      <c r="A105" s="44"/>
      <c r="B105" s="44"/>
      <c r="C105" s="44"/>
      <c r="D105" s="44"/>
      <c r="E105" s="44"/>
      <c r="F105" s="44"/>
      <c r="G105" s="44"/>
    </row>
    <row r="106" spans="1:7" x14ac:dyDescent="0.2">
      <c r="A106" s="43"/>
      <c r="B106" s="43"/>
      <c r="C106" s="43"/>
      <c r="D106" s="43"/>
      <c r="E106" s="43"/>
      <c r="F106" s="43"/>
      <c r="G106" s="43"/>
    </row>
    <row r="107" spans="1:7" x14ac:dyDescent="0.2">
      <c r="A107" s="44"/>
      <c r="B107" s="44"/>
      <c r="C107" s="44"/>
      <c r="D107" s="44"/>
      <c r="E107" s="44"/>
      <c r="F107" s="44"/>
      <c r="G107" s="44"/>
    </row>
    <row r="108" spans="1:7" x14ac:dyDescent="0.2">
      <c r="A108" s="43"/>
      <c r="B108" s="43"/>
      <c r="C108" s="43"/>
      <c r="D108" s="43"/>
      <c r="E108" s="43"/>
      <c r="F108" s="43"/>
      <c r="G108" s="43"/>
    </row>
    <row r="109" spans="1:7" x14ac:dyDescent="0.2">
      <c r="A109" s="44"/>
      <c r="B109" s="44"/>
      <c r="C109" s="44"/>
      <c r="D109" s="44"/>
      <c r="E109" s="44"/>
      <c r="F109" s="44"/>
      <c r="G109" s="44"/>
    </row>
    <row r="110" spans="1:7" x14ac:dyDescent="0.2">
      <c r="A110" s="43"/>
      <c r="B110" s="43"/>
      <c r="C110" s="43"/>
      <c r="D110" s="43"/>
      <c r="E110" s="43"/>
      <c r="F110" s="43"/>
      <c r="G110" s="43"/>
    </row>
    <row r="111" spans="1:7" x14ac:dyDescent="0.2">
      <c r="A111" s="44"/>
      <c r="B111" s="44"/>
      <c r="C111" s="44"/>
      <c r="D111" s="44"/>
      <c r="E111" s="44"/>
      <c r="F111" s="44"/>
      <c r="G111" s="44"/>
    </row>
    <row r="112" spans="1:7" x14ac:dyDescent="0.2">
      <c r="A112" s="43"/>
      <c r="B112" s="43"/>
      <c r="C112" s="43"/>
      <c r="D112" s="43"/>
      <c r="E112" s="43"/>
      <c r="F112" s="43"/>
      <c r="G112" s="43"/>
    </row>
    <row r="113" spans="1:7" x14ac:dyDescent="0.2">
      <c r="A113" s="44"/>
      <c r="B113" s="44"/>
      <c r="C113" s="44"/>
      <c r="D113" s="44"/>
      <c r="E113" s="44"/>
      <c r="F113" s="44"/>
      <c r="G113" s="44"/>
    </row>
    <row r="114" spans="1:7" x14ac:dyDescent="0.2">
      <c r="A114" s="43"/>
      <c r="B114" s="43"/>
      <c r="C114" s="43"/>
      <c r="D114" s="43"/>
      <c r="E114" s="43"/>
      <c r="F114" s="43"/>
      <c r="G114" s="43"/>
    </row>
    <row r="115" spans="1:7" x14ac:dyDescent="0.2">
      <c r="A115" s="44"/>
      <c r="B115" s="44"/>
      <c r="C115" s="44"/>
      <c r="D115" s="44"/>
      <c r="E115" s="44"/>
      <c r="F115" s="44"/>
      <c r="G115" s="44"/>
    </row>
    <row r="116" spans="1:7" x14ac:dyDescent="0.2">
      <c r="A116" s="43"/>
      <c r="B116" s="43"/>
      <c r="C116" s="43"/>
      <c r="D116" s="43"/>
      <c r="E116" s="43"/>
      <c r="F116" s="43"/>
      <c r="G116" s="43"/>
    </row>
    <row r="117" spans="1:7" x14ac:dyDescent="0.2">
      <c r="A117" s="44"/>
      <c r="B117" s="44"/>
      <c r="C117" s="44"/>
      <c r="D117" s="44"/>
      <c r="E117" s="44"/>
      <c r="F117" s="44"/>
      <c r="G117" s="44"/>
    </row>
    <row r="118" spans="1:7" x14ac:dyDescent="0.2">
      <c r="A118" s="43"/>
      <c r="B118" s="43"/>
      <c r="C118" s="43"/>
      <c r="D118" s="43"/>
      <c r="E118" s="43"/>
      <c r="F118" s="43"/>
      <c r="G118" s="43"/>
    </row>
    <row r="119" spans="1:7" x14ac:dyDescent="0.2">
      <c r="A119" s="44"/>
      <c r="B119" s="44"/>
      <c r="C119" s="44"/>
      <c r="D119" s="44"/>
      <c r="E119" s="44"/>
      <c r="F119" s="44"/>
      <c r="G119" s="44"/>
    </row>
    <row r="120" spans="1:7" x14ac:dyDescent="0.2">
      <c r="A120" s="43"/>
      <c r="B120" s="43"/>
      <c r="C120" s="43"/>
      <c r="D120" s="43"/>
      <c r="E120" s="43"/>
      <c r="F120" s="43"/>
      <c r="G120" s="43"/>
    </row>
    <row r="121" spans="1:7" x14ac:dyDescent="0.2">
      <c r="A121" s="44"/>
      <c r="B121" s="44"/>
      <c r="C121" s="44"/>
      <c r="D121" s="44"/>
      <c r="E121" s="44"/>
      <c r="F121" s="44"/>
      <c r="G121" s="44"/>
    </row>
    <row r="122" spans="1:7" x14ac:dyDescent="0.2">
      <c r="A122" s="43"/>
      <c r="B122" s="43"/>
      <c r="C122" s="43"/>
      <c r="D122" s="43"/>
      <c r="E122" s="43"/>
      <c r="F122" s="43"/>
      <c r="G122" s="43"/>
    </row>
    <row r="123" spans="1:7" x14ac:dyDescent="0.2">
      <c r="A123" s="44"/>
      <c r="B123" s="44"/>
      <c r="C123" s="44"/>
      <c r="D123" s="44"/>
      <c r="E123" s="44"/>
      <c r="F123" s="44"/>
      <c r="G123" s="44"/>
    </row>
    <row r="124" spans="1:7" x14ac:dyDescent="0.2">
      <c r="A124" s="43"/>
      <c r="B124" s="43"/>
      <c r="C124" s="43"/>
      <c r="D124" s="43"/>
      <c r="E124" s="43"/>
      <c r="F124" s="43"/>
      <c r="G124" s="43"/>
    </row>
    <row r="125" spans="1:7" x14ac:dyDescent="0.2">
      <c r="A125" s="44"/>
      <c r="B125" s="44"/>
      <c r="C125" s="44"/>
      <c r="D125" s="44"/>
      <c r="E125" s="44"/>
      <c r="F125" s="44"/>
      <c r="G125" s="44"/>
    </row>
    <row r="126" spans="1:7" x14ac:dyDescent="0.2">
      <c r="A126" s="43"/>
      <c r="B126" s="43"/>
      <c r="C126" s="43"/>
      <c r="D126" s="43"/>
      <c r="E126" s="43"/>
      <c r="F126" s="43"/>
      <c r="G126" s="43"/>
    </row>
    <row r="127" spans="1:7" x14ac:dyDescent="0.2">
      <c r="A127" s="44"/>
      <c r="B127" s="44"/>
      <c r="C127" s="44"/>
      <c r="D127" s="44"/>
      <c r="E127" s="44"/>
      <c r="F127" s="44"/>
      <c r="G127" s="44"/>
    </row>
    <row r="128" spans="1:7" x14ac:dyDescent="0.2">
      <c r="A128" s="43"/>
      <c r="B128" s="43"/>
      <c r="C128" s="43"/>
      <c r="D128" s="43"/>
      <c r="E128" s="43"/>
      <c r="F128" s="43"/>
      <c r="G128" s="43"/>
    </row>
    <row r="129" spans="1:7" x14ac:dyDescent="0.2">
      <c r="A129" s="44"/>
      <c r="B129" s="44"/>
      <c r="C129" s="44"/>
      <c r="D129" s="44"/>
      <c r="E129" s="44"/>
      <c r="F129" s="44"/>
      <c r="G129" s="44"/>
    </row>
    <row r="130" spans="1:7" x14ac:dyDescent="0.2">
      <c r="A130" s="43"/>
      <c r="B130" s="43"/>
      <c r="C130" s="43"/>
      <c r="D130" s="43"/>
      <c r="E130" s="43"/>
      <c r="F130" s="43"/>
      <c r="G130" s="43"/>
    </row>
    <row r="131" spans="1:7" x14ac:dyDescent="0.2">
      <c r="A131" s="44"/>
      <c r="B131" s="44"/>
      <c r="C131" s="44"/>
      <c r="D131" s="44"/>
      <c r="E131" s="44"/>
      <c r="F131" s="44"/>
      <c r="G131" s="44"/>
    </row>
    <row r="132" spans="1:7" x14ac:dyDescent="0.2">
      <c r="A132" s="43"/>
      <c r="B132" s="43"/>
      <c r="C132" s="43"/>
      <c r="D132" s="43"/>
      <c r="E132" s="43"/>
      <c r="F132" s="43"/>
      <c r="G132" s="43"/>
    </row>
    <row r="133" spans="1:7" x14ac:dyDescent="0.2">
      <c r="A133" s="44"/>
      <c r="B133" s="44"/>
      <c r="C133" s="44"/>
      <c r="D133" s="44"/>
      <c r="E133" s="44"/>
      <c r="F133" s="44"/>
      <c r="G133" s="44"/>
    </row>
    <row r="134" spans="1:7" x14ac:dyDescent="0.2">
      <c r="A134" s="43"/>
      <c r="B134" s="43"/>
      <c r="C134" s="43"/>
      <c r="D134" s="43"/>
      <c r="E134" s="43"/>
      <c r="F134" s="43"/>
      <c r="G134" s="43"/>
    </row>
    <row r="135" spans="1:7" x14ac:dyDescent="0.2">
      <c r="A135" s="44"/>
      <c r="B135" s="44"/>
      <c r="C135" s="44"/>
      <c r="D135" s="44"/>
      <c r="E135" s="44"/>
      <c r="F135" s="44"/>
      <c r="G135" s="44"/>
    </row>
    <row r="136" spans="1:7" x14ac:dyDescent="0.2">
      <c r="A136" s="43"/>
      <c r="B136" s="43"/>
      <c r="C136" s="43"/>
      <c r="D136" s="43"/>
      <c r="E136" s="43"/>
      <c r="F136" s="43"/>
      <c r="G136" s="43"/>
    </row>
    <row r="137" spans="1:7" x14ac:dyDescent="0.2">
      <c r="A137" s="44"/>
      <c r="B137" s="44"/>
      <c r="C137" s="44"/>
      <c r="D137" s="44"/>
      <c r="E137" s="44"/>
      <c r="F137" s="44"/>
      <c r="G137" s="44"/>
    </row>
    <row r="138" spans="1:7" x14ac:dyDescent="0.2">
      <c r="A138" s="43"/>
      <c r="B138" s="43"/>
      <c r="C138" s="43"/>
      <c r="D138" s="43"/>
      <c r="E138" s="43"/>
      <c r="F138" s="43"/>
      <c r="G138" s="43"/>
    </row>
    <row r="139" spans="1:7" x14ac:dyDescent="0.2">
      <c r="A139" s="44"/>
      <c r="B139" s="44"/>
      <c r="C139" s="44"/>
      <c r="D139" s="44"/>
      <c r="E139" s="44"/>
      <c r="F139" s="44"/>
      <c r="G139" s="44"/>
    </row>
    <row r="140" spans="1:7" x14ac:dyDescent="0.2">
      <c r="A140" s="43"/>
      <c r="B140" s="43"/>
      <c r="C140" s="43"/>
      <c r="D140" s="43"/>
      <c r="E140" s="43"/>
      <c r="F140" s="43"/>
      <c r="G140" s="43"/>
    </row>
    <row r="141" spans="1:7" x14ac:dyDescent="0.2">
      <c r="A141" s="44"/>
      <c r="B141" s="44"/>
      <c r="C141" s="44"/>
      <c r="D141" s="44"/>
      <c r="E141" s="44"/>
      <c r="F141" s="44"/>
      <c r="G141" s="44"/>
    </row>
    <row r="142" spans="1:7" x14ac:dyDescent="0.2">
      <c r="A142" s="43"/>
      <c r="B142" s="43"/>
      <c r="C142" s="43"/>
      <c r="D142" s="43"/>
      <c r="E142" s="43"/>
      <c r="F142" s="43"/>
      <c r="G142" s="43"/>
    </row>
    <row r="143" spans="1:7" x14ac:dyDescent="0.2">
      <c r="A143" s="44"/>
      <c r="B143" s="44"/>
      <c r="C143" s="44"/>
      <c r="D143" s="44"/>
      <c r="E143" s="44"/>
      <c r="F143" s="44"/>
      <c r="G143" s="44"/>
    </row>
    <row r="144" spans="1:7" x14ac:dyDescent="0.2">
      <c r="A144" s="43"/>
      <c r="B144" s="43"/>
      <c r="C144" s="43"/>
      <c r="D144" s="43"/>
      <c r="E144" s="43"/>
      <c r="F144" s="43"/>
      <c r="G144" s="43"/>
    </row>
    <row r="145" spans="1:7" x14ac:dyDescent="0.2">
      <c r="A145" s="44"/>
      <c r="B145" s="44"/>
      <c r="C145" s="44"/>
      <c r="D145" s="44"/>
      <c r="E145" s="44"/>
      <c r="F145" s="44"/>
      <c r="G145" s="44"/>
    </row>
    <row r="146" spans="1:7" x14ac:dyDescent="0.2">
      <c r="A146" s="43"/>
      <c r="B146" s="43"/>
      <c r="C146" s="43"/>
      <c r="D146" s="43"/>
      <c r="E146" s="43"/>
      <c r="F146" s="43"/>
      <c r="G146" s="43"/>
    </row>
    <row r="147" spans="1:7" x14ac:dyDescent="0.2">
      <c r="A147" s="44"/>
      <c r="B147" s="44"/>
      <c r="C147" s="44"/>
      <c r="D147" s="44"/>
      <c r="E147" s="44"/>
      <c r="F147" s="44"/>
      <c r="G147" s="44"/>
    </row>
    <row r="148" spans="1:7" x14ac:dyDescent="0.2">
      <c r="A148" s="43"/>
      <c r="B148" s="43"/>
      <c r="C148" s="43"/>
      <c r="D148" s="43"/>
      <c r="E148" s="43"/>
      <c r="F148" s="43"/>
      <c r="G148" s="43"/>
    </row>
    <row r="149" spans="1:7" x14ac:dyDescent="0.2">
      <c r="A149" s="44"/>
      <c r="B149" s="44"/>
      <c r="C149" s="44"/>
      <c r="D149" s="44"/>
      <c r="E149" s="44"/>
      <c r="F149" s="44"/>
      <c r="G149" s="44"/>
    </row>
    <row r="150" spans="1:7" x14ac:dyDescent="0.2">
      <c r="A150" s="43"/>
      <c r="B150" s="43"/>
      <c r="C150" s="43"/>
      <c r="D150" s="43"/>
      <c r="E150" s="43"/>
      <c r="F150" s="43"/>
      <c r="G150" s="43"/>
    </row>
    <row r="151" spans="1:7" x14ac:dyDescent="0.2">
      <c r="A151" s="44"/>
      <c r="B151" s="44"/>
      <c r="C151" s="44"/>
      <c r="D151" s="44"/>
      <c r="E151" s="44"/>
      <c r="F151" s="44"/>
      <c r="G151" s="44"/>
    </row>
    <row r="152" spans="1:7" x14ac:dyDescent="0.2">
      <c r="A152" s="43"/>
      <c r="B152" s="43"/>
      <c r="C152" s="43"/>
      <c r="D152" s="43"/>
      <c r="E152" s="43"/>
      <c r="F152" s="43"/>
      <c r="G152" s="43"/>
    </row>
    <row r="153" spans="1:7" x14ac:dyDescent="0.2">
      <c r="A153" s="44"/>
      <c r="B153" s="44"/>
      <c r="C153" s="44"/>
      <c r="D153" s="44"/>
      <c r="E153" s="44"/>
      <c r="F153" s="44"/>
      <c r="G153" s="44"/>
    </row>
    <row r="154" spans="1:7" x14ac:dyDescent="0.2">
      <c r="A154" s="43"/>
      <c r="B154" s="43"/>
      <c r="C154" s="43"/>
      <c r="D154" s="43"/>
      <c r="E154" s="43"/>
      <c r="F154" s="43"/>
      <c r="G154" s="43"/>
    </row>
    <row r="155" spans="1:7" x14ac:dyDescent="0.2">
      <c r="A155" s="44"/>
      <c r="B155" s="44"/>
      <c r="C155" s="44"/>
      <c r="D155" s="44"/>
      <c r="E155" s="44"/>
      <c r="F155" s="44"/>
      <c r="G155" s="44"/>
    </row>
    <row r="156" spans="1:7" x14ac:dyDescent="0.2">
      <c r="A156" s="43"/>
      <c r="B156" s="43"/>
      <c r="C156" s="43"/>
      <c r="D156" s="43"/>
      <c r="E156" s="43"/>
      <c r="F156" s="43"/>
      <c r="G156" s="43"/>
    </row>
    <row r="157" spans="1:7" x14ac:dyDescent="0.2">
      <c r="A157" s="44"/>
      <c r="B157" s="44"/>
      <c r="C157" s="44"/>
      <c r="D157" s="44"/>
      <c r="E157" s="44"/>
      <c r="F157" s="44"/>
      <c r="G157" s="44"/>
    </row>
    <row r="158" spans="1:7" x14ac:dyDescent="0.2">
      <c r="A158" s="43"/>
      <c r="B158" s="43"/>
      <c r="C158" s="43"/>
      <c r="D158" s="43"/>
      <c r="E158" s="43"/>
      <c r="F158" s="43"/>
      <c r="G158" s="43"/>
    </row>
    <row r="159" spans="1:7" x14ac:dyDescent="0.2">
      <c r="A159" s="44"/>
      <c r="B159" s="44"/>
      <c r="C159" s="44"/>
      <c r="D159" s="44"/>
      <c r="E159" s="44"/>
      <c r="F159" s="44"/>
      <c r="G159" s="44"/>
    </row>
    <row r="160" spans="1:7" x14ac:dyDescent="0.2">
      <c r="A160" s="43"/>
      <c r="B160" s="43"/>
      <c r="C160" s="43"/>
      <c r="D160" s="43"/>
      <c r="E160" s="43"/>
      <c r="F160" s="43"/>
      <c r="G160" s="43"/>
    </row>
    <row r="161" spans="1:7" x14ac:dyDescent="0.2">
      <c r="A161" s="44"/>
      <c r="B161" s="44"/>
      <c r="C161" s="44"/>
      <c r="D161" s="44"/>
      <c r="E161" s="44"/>
      <c r="F161" s="44"/>
      <c r="G161" s="44"/>
    </row>
    <row r="162" spans="1:7" x14ac:dyDescent="0.2">
      <c r="A162" s="43"/>
      <c r="B162" s="43"/>
      <c r="C162" s="43"/>
      <c r="D162" s="43"/>
      <c r="E162" s="43"/>
      <c r="F162" s="43"/>
      <c r="G162" s="43"/>
    </row>
    <row r="163" spans="1:7" x14ac:dyDescent="0.2">
      <c r="A163" s="44"/>
      <c r="B163" s="44"/>
      <c r="C163" s="44"/>
      <c r="D163" s="44"/>
      <c r="E163" s="44"/>
      <c r="F163" s="44"/>
      <c r="G163" s="44"/>
    </row>
    <row r="164" spans="1:7" x14ac:dyDescent="0.2">
      <c r="A164" s="43"/>
      <c r="B164" s="43"/>
      <c r="C164" s="43"/>
      <c r="D164" s="43"/>
      <c r="E164" s="43"/>
      <c r="F164" s="43"/>
      <c r="G164" s="43"/>
    </row>
    <row r="165" spans="1:7" x14ac:dyDescent="0.2">
      <c r="A165" s="44"/>
      <c r="B165" s="44"/>
      <c r="C165" s="44"/>
      <c r="D165" s="44"/>
      <c r="E165" s="44"/>
      <c r="F165" s="44"/>
      <c r="G165" s="44"/>
    </row>
    <row r="166" spans="1:7" x14ac:dyDescent="0.2">
      <c r="A166" s="43"/>
      <c r="B166" s="43"/>
      <c r="C166" s="43"/>
      <c r="D166" s="43"/>
      <c r="E166" s="43"/>
      <c r="F166" s="43"/>
      <c r="G166" s="43"/>
    </row>
    <row r="167" spans="1:7" x14ac:dyDescent="0.2">
      <c r="A167" s="44"/>
      <c r="B167" s="44"/>
      <c r="C167" s="44"/>
      <c r="D167" s="44"/>
      <c r="E167" s="44"/>
      <c r="F167" s="44"/>
      <c r="G167" s="44"/>
    </row>
    <row r="168" spans="1:7" x14ac:dyDescent="0.2">
      <c r="A168" s="43"/>
      <c r="B168" s="43"/>
      <c r="C168" s="43"/>
      <c r="D168" s="43"/>
      <c r="E168" s="43"/>
      <c r="F168" s="43"/>
      <c r="G168" s="43"/>
    </row>
    <row r="169" spans="1:7" x14ac:dyDescent="0.2">
      <c r="A169" s="44"/>
      <c r="B169" s="44"/>
      <c r="C169" s="44"/>
      <c r="D169" s="44"/>
      <c r="E169" s="44"/>
      <c r="F169" s="44"/>
      <c r="G169" s="44"/>
    </row>
    <row r="170" spans="1:7" x14ac:dyDescent="0.2">
      <c r="A170" s="43"/>
      <c r="B170" s="43"/>
      <c r="C170" s="43"/>
      <c r="D170" s="43"/>
      <c r="E170" s="43"/>
      <c r="F170" s="43"/>
      <c r="G170" s="43"/>
    </row>
    <row r="171" spans="1:7" x14ac:dyDescent="0.2">
      <c r="A171" s="44"/>
      <c r="B171" s="44"/>
      <c r="C171" s="44"/>
      <c r="D171" s="44"/>
      <c r="E171" s="44"/>
      <c r="F171" s="44"/>
      <c r="G171" s="44"/>
    </row>
    <row r="172" spans="1:7" x14ac:dyDescent="0.2">
      <c r="A172" s="43"/>
      <c r="B172" s="43"/>
      <c r="C172" s="43"/>
      <c r="D172" s="43"/>
      <c r="E172" s="43"/>
      <c r="F172" s="43"/>
      <c r="G172" s="43"/>
    </row>
    <row r="173" spans="1:7" x14ac:dyDescent="0.2">
      <c r="A173" s="44"/>
      <c r="B173" s="44"/>
      <c r="C173" s="44"/>
      <c r="D173" s="44"/>
      <c r="E173" s="44"/>
      <c r="F173" s="44"/>
      <c r="G173" s="44"/>
    </row>
    <row r="174" spans="1:7" x14ac:dyDescent="0.2">
      <c r="A174" s="43"/>
      <c r="B174" s="43"/>
      <c r="C174" s="43"/>
      <c r="D174" s="43"/>
      <c r="E174" s="43"/>
      <c r="F174" s="43"/>
      <c r="G174" s="43"/>
    </row>
    <row r="175" spans="1:7" x14ac:dyDescent="0.2">
      <c r="A175" s="44"/>
      <c r="B175" s="44"/>
      <c r="C175" s="44"/>
      <c r="D175" s="44"/>
      <c r="E175" s="44"/>
      <c r="F175" s="44"/>
      <c r="G175" s="44"/>
    </row>
    <row r="176" spans="1:7" x14ac:dyDescent="0.2">
      <c r="A176" s="43"/>
      <c r="B176" s="43"/>
      <c r="C176" s="43"/>
      <c r="D176" s="43"/>
      <c r="E176" s="43"/>
      <c r="F176" s="43"/>
      <c r="G176" s="43"/>
    </row>
    <row r="177" spans="1:7" x14ac:dyDescent="0.2">
      <c r="A177" s="44"/>
      <c r="B177" s="44"/>
      <c r="C177" s="44"/>
      <c r="D177" s="44"/>
      <c r="E177" s="44"/>
      <c r="F177" s="44"/>
      <c r="G177" s="44"/>
    </row>
    <row r="178" spans="1:7" x14ac:dyDescent="0.2">
      <c r="A178" s="43"/>
      <c r="B178" s="43"/>
      <c r="C178" s="43"/>
      <c r="D178" s="43"/>
      <c r="E178" s="43"/>
      <c r="F178" s="43"/>
      <c r="G178" s="43"/>
    </row>
    <row r="179" spans="1:7" x14ac:dyDescent="0.2">
      <c r="A179" s="44"/>
      <c r="B179" s="44"/>
      <c r="C179" s="44"/>
      <c r="D179" s="44"/>
      <c r="E179" s="44"/>
      <c r="F179" s="44"/>
      <c r="G179" s="44"/>
    </row>
    <row r="180" spans="1:7" x14ac:dyDescent="0.2">
      <c r="A180" s="43"/>
      <c r="B180" s="43"/>
      <c r="C180" s="43"/>
      <c r="D180" s="43"/>
      <c r="E180" s="43"/>
      <c r="F180" s="43"/>
      <c r="G180" s="43"/>
    </row>
    <row r="181" spans="1:7" x14ac:dyDescent="0.2">
      <c r="A181" s="44"/>
      <c r="B181" s="44"/>
      <c r="C181" s="44"/>
      <c r="D181" s="44"/>
      <c r="E181" s="44"/>
      <c r="F181" s="44"/>
      <c r="G181" s="44"/>
    </row>
    <row r="182" spans="1:7" x14ac:dyDescent="0.2">
      <c r="A182" s="43"/>
      <c r="B182" s="43"/>
      <c r="C182" s="43"/>
      <c r="D182" s="43"/>
      <c r="E182" s="43"/>
      <c r="F182" s="43"/>
      <c r="G182" s="43"/>
    </row>
    <row r="183" spans="1:7" x14ac:dyDescent="0.2">
      <c r="A183" s="44"/>
      <c r="B183" s="44"/>
      <c r="C183" s="44"/>
      <c r="D183" s="44"/>
      <c r="E183" s="44"/>
      <c r="F183" s="44"/>
      <c r="G183" s="44"/>
    </row>
    <row r="184" spans="1:7" x14ac:dyDescent="0.2">
      <c r="A184" s="43"/>
      <c r="B184" s="43"/>
      <c r="C184" s="43"/>
      <c r="D184" s="43"/>
      <c r="E184" s="43"/>
      <c r="F184" s="43"/>
      <c r="G184" s="43"/>
    </row>
    <row r="185" spans="1:7" x14ac:dyDescent="0.2">
      <c r="A185" s="44"/>
      <c r="B185" s="44"/>
      <c r="C185" s="44"/>
      <c r="D185" s="44"/>
      <c r="E185" s="44"/>
      <c r="F185" s="44"/>
      <c r="G185" s="44"/>
    </row>
    <row r="186" spans="1:7" x14ac:dyDescent="0.2">
      <c r="A186" s="43"/>
      <c r="B186" s="43"/>
      <c r="C186" s="43"/>
      <c r="D186" s="43"/>
      <c r="E186" s="43"/>
      <c r="F186" s="43"/>
      <c r="G186" s="43"/>
    </row>
    <row r="187" spans="1:7" x14ac:dyDescent="0.2">
      <c r="A187" s="44"/>
      <c r="B187" s="44"/>
      <c r="C187" s="44"/>
      <c r="D187" s="44"/>
      <c r="E187" s="44"/>
      <c r="F187" s="44"/>
      <c r="G187" s="44"/>
    </row>
    <row r="188" spans="1:7" x14ac:dyDescent="0.2">
      <c r="A188" s="43"/>
      <c r="B188" s="43"/>
      <c r="C188" s="43"/>
      <c r="D188" s="43"/>
      <c r="E188" s="43"/>
      <c r="F188" s="43"/>
      <c r="G188" s="43"/>
    </row>
    <row r="189" spans="1:7" x14ac:dyDescent="0.2">
      <c r="A189" s="44"/>
      <c r="B189" s="44"/>
      <c r="C189" s="44"/>
      <c r="D189" s="44"/>
      <c r="E189" s="44"/>
      <c r="F189" s="44"/>
      <c r="G189" s="44"/>
    </row>
    <row r="190" spans="1:7" x14ac:dyDescent="0.2">
      <c r="A190" s="43"/>
      <c r="B190" s="43"/>
      <c r="C190" s="43"/>
      <c r="D190" s="43"/>
      <c r="E190" s="43"/>
      <c r="F190" s="43"/>
      <c r="G190" s="43"/>
    </row>
    <row r="191" spans="1:7" x14ac:dyDescent="0.2">
      <c r="A191" s="44"/>
      <c r="B191" s="44"/>
      <c r="C191" s="44"/>
      <c r="D191" s="44"/>
      <c r="E191" s="44"/>
      <c r="F191" s="44"/>
      <c r="G191" s="44"/>
    </row>
    <row r="192" spans="1:7" x14ac:dyDescent="0.2">
      <c r="A192" s="43"/>
      <c r="B192" s="43"/>
      <c r="C192" s="43"/>
      <c r="D192" s="43"/>
      <c r="E192" s="43"/>
      <c r="F192" s="43"/>
      <c r="G192" s="43"/>
    </row>
    <row r="193" spans="1:7" x14ac:dyDescent="0.2">
      <c r="A193" s="44"/>
      <c r="B193" s="44"/>
      <c r="C193" s="44"/>
      <c r="D193" s="44"/>
      <c r="E193" s="44"/>
      <c r="F193" s="44"/>
      <c r="G193" s="44"/>
    </row>
    <row r="194" spans="1:7" x14ac:dyDescent="0.2">
      <c r="A194" s="43"/>
      <c r="B194" s="43"/>
      <c r="C194" s="43"/>
      <c r="D194" s="43"/>
      <c r="E194" s="43"/>
      <c r="F194" s="43"/>
      <c r="G194" s="43"/>
    </row>
    <row r="195" spans="1:7" x14ac:dyDescent="0.2">
      <c r="A195" s="44"/>
      <c r="B195" s="44"/>
      <c r="C195" s="44"/>
      <c r="D195" s="44"/>
      <c r="E195" s="44"/>
      <c r="F195" s="44"/>
      <c r="G195" s="44"/>
    </row>
    <row r="196" spans="1:7" x14ac:dyDescent="0.2">
      <c r="A196" s="43"/>
      <c r="B196" s="43"/>
      <c r="C196" s="43"/>
      <c r="D196" s="43"/>
      <c r="E196" s="43"/>
      <c r="F196" s="43"/>
      <c r="G196" s="43"/>
    </row>
    <row r="197" spans="1:7" x14ac:dyDescent="0.2">
      <c r="A197" s="44"/>
      <c r="B197" s="44"/>
      <c r="C197" s="44"/>
      <c r="D197" s="44"/>
      <c r="E197" s="44"/>
      <c r="F197" s="44"/>
      <c r="G197" s="44"/>
    </row>
    <row r="198" spans="1:7" x14ac:dyDescent="0.2">
      <c r="A198" s="43"/>
      <c r="B198" s="43"/>
      <c r="C198" s="43"/>
      <c r="D198" s="43"/>
      <c r="E198" s="43"/>
      <c r="F198" s="43"/>
      <c r="G198" s="43"/>
    </row>
    <row r="199" spans="1:7" x14ac:dyDescent="0.2">
      <c r="A199" s="44"/>
      <c r="B199" s="44"/>
      <c r="C199" s="44"/>
      <c r="D199" s="44"/>
      <c r="E199" s="44"/>
      <c r="F199" s="44"/>
      <c r="G199" s="44"/>
    </row>
    <row r="200" spans="1:7" x14ac:dyDescent="0.2">
      <c r="A200" s="43"/>
      <c r="B200" s="43"/>
      <c r="C200" s="43"/>
      <c r="D200" s="43"/>
      <c r="E200" s="43"/>
      <c r="F200" s="43"/>
      <c r="G200" s="43"/>
    </row>
    <row r="201" spans="1:7" x14ac:dyDescent="0.2">
      <c r="A201" s="44"/>
      <c r="B201" s="44"/>
      <c r="C201" s="44"/>
      <c r="D201" s="44"/>
      <c r="E201" s="44"/>
      <c r="F201" s="44"/>
      <c r="G201" s="44"/>
    </row>
    <row r="202" spans="1:7" x14ac:dyDescent="0.2">
      <c r="A202" s="43"/>
      <c r="B202" s="43"/>
      <c r="C202" s="43"/>
      <c r="D202" s="43"/>
      <c r="E202" s="43"/>
      <c r="F202" s="43"/>
      <c r="G202" s="43"/>
    </row>
    <row r="203" spans="1:7" x14ac:dyDescent="0.2">
      <c r="A203" s="44"/>
      <c r="B203" s="44"/>
      <c r="C203" s="44"/>
      <c r="D203" s="44"/>
      <c r="E203" s="44"/>
      <c r="F203" s="44"/>
      <c r="G203" s="44"/>
    </row>
    <row r="204" spans="1:7" x14ac:dyDescent="0.2">
      <c r="A204" s="43"/>
      <c r="B204" s="43"/>
      <c r="C204" s="43"/>
      <c r="D204" s="43"/>
      <c r="E204" s="43"/>
      <c r="F204" s="43"/>
      <c r="G204" s="43"/>
    </row>
    <row r="205" spans="1:7" x14ac:dyDescent="0.2">
      <c r="A205" s="44"/>
      <c r="B205" s="44"/>
      <c r="C205" s="44"/>
      <c r="D205" s="44"/>
      <c r="E205" s="44"/>
      <c r="F205" s="44"/>
      <c r="G205" s="44"/>
    </row>
    <row r="206" spans="1:7" x14ac:dyDescent="0.2">
      <c r="A206" s="43"/>
      <c r="B206" s="43"/>
      <c r="C206" s="43"/>
      <c r="D206" s="43"/>
      <c r="E206" s="43"/>
      <c r="F206" s="43"/>
      <c r="G206" s="43"/>
    </row>
    <row r="207" spans="1:7" x14ac:dyDescent="0.2">
      <c r="A207" s="44"/>
      <c r="B207" s="44"/>
      <c r="C207" s="44"/>
      <c r="D207" s="44"/>
      <c r="E207" s="44"/>
      <c r="F207" s="44"/>
      <c r="G207" s="44"/>
    </row>
    <row r="208" spans="1:7" x14ac:dyDescent="0.2">
      <c r="A208" s="43"/>
      <c r="B208" s="43"/>
      <c r="C208" s="43"/>
      <c r="D208" s="43"/>
      <c r="E208" s="43"/>
      <c r="F208" s="43"/>
      <c r="G208" s="43"/>
    </row>
    <row r="209" spans="1:7" x14ac:dyDescent="0.2">
      <c r="A209" s="44"/>
      <c r="B209" s="44"/>
      <c r="C209" s="44"/>
      <c r="D209" s="44"/>
      <c r="E209" s="44"/>
      <c r="F209" s="44"/>
      <c r="G209" s="44"/>
    </row>
    <row r="210" spans="1:7" x14ac:dyDescent="0.2">
      <c r="A210" s="43"/>
      <c r="B210" s="43"/>
      <c r="C210" s="43"/>
      <c r="D210" s="43"/>
      <c r="E210" s="43"/>
      <c r="F210" s="43"/>
      <c r="G210" s="43"/>
    </row>
    <row r="211" spans="1:7" x14ac:dyDescent="0.2">
      <c r="A211" s="44"/>
      <c r="B211" s="44"/>
      <c r="C211" s="44"/>
      <c r="D211" s="44"/>
      <c r="E211" s="44"/>
      <c r="F211" s="44"/>
      <c r="G211" s="44"/>
    </row>
    <row r="212" spans="1:7" x14ac:dyDescent="0.2">
      <c r="A212" s="43"/>
      <c r="B212" s="43"/>
      <c r="C212" s="43"/>
      <c r="D212" s="43"/>
      <c r="E212" s="43"/>
      <c r="F212" s="43"/>
      <c r="G212" s="43"/>
    </row>
    <row r="213" spans="1:7" x14ac:dyDescent="0.2">
      <c r="A213" s="44"/>
      <c r="B213" s="44"/>
      <c r="C213" s="44"/>
      <c r="D213" s="44"/>
      <c r="E213" s="44"/>
      <c r="F213" s="44"/>
      <c r="G213" s="44"/>
    </row>
    <row r="214" spans="1:7" x14ac:dyDescent="0.2">
      <c r="A214" s="43"/>
      <c r="B214" s="43"/>
      <c r="C214" s="43"/>
      <c r="D214" s="43"/>
      <c r="E214" s="43"/>
      <c r="F214" s="43"/>
      <c r="G214" s="43"/>
    </row>
    <row r="215" spans="1:7" x14ac:dyDescent="0.2">
      <c r="A215" s="44"/>
      <c r="B215" s="44"/>
      <c r="C215" s="44"/>
      <c r="D215" s="44"/>
      <c r="E215" s="44"/>
      <c r="F215" s="44"/>
      <c r="G215" s="44"/>
    </row>
    <row r="216" spans="1:7" x14ac:dyDescent="0.2">
      <c r="A216" s="43"/>
      <c r="B216" s="43"/>
      <c r="C216" s="43"/>
      <c r="D216" s="43"/>
      <c r="E216" s="43"/>
      <c r="F216" s="43"/>
      <c r="G216" s="43"/>
    </row>
    <row r="217" spans="1:7" x14ac:dyDescent="0.2">
      <c r="A217" s="44"/>
      <c r="B217" s="44"/>
      <c r="C217" s="44"/>
      <c r="D217" s="44"/>
      <c r="E217" s="44"/>
      <c r="F217" s="44"/>
      <c r="G217" s="44"/>
    </row>
    <row r="218" spans="1:7" x14ac:dyDescent="0.2">
      <c r="A218" s="43"/>
      <c r="B218" s="43"/>
      <c r="C218" s="43"/>
      <c r="D218" s="43"/>
      <c r="E218" s="43"/>
      <c r="F218" s="43"/>
      <c r="G218" s="43"/>
    </row>
    <row r="219" spans="1:7" x14ac:dyDescent="0.2">
      <c r="A219" s="44"/>
      <c r="B219" s="44"/>
      <c r="C219" s="44"/>
      <c r="D219" s="44"/>
      <c r="E219" s="44"/>
      <c r="F219" s="44"/>
      <c r="G219" s="44"/>
    </row>
    <row r="220" spans="1:7" x14ac:dyDescent="0.2">
      <c r="A220" s="43"/>
      <c r="B220" s="43"/>
      <c r="C220" s="43"/>
      <c r="D220" s="43"/>
      <c r="E220" s="43"/>
      <c r="F220" s="43"/>
      <c r="G220" s="43"/>
    </row>
    <row r="221" spans="1:7" x14ac:dyDescent="0.2">
      <c r="A221" s="44"/>
      <c r="B221" s="44"/>
      <c r="C221" s="44"/>
      <c r="D221" s="44"/>
      <c r="E221" s="44"/>
      <c r="F221" s="44"/>
      <c r="G221" s="44"/>
    </row>
    <row r="222" spans="1:7" x14ac:dyDescent="0.2">
      <c r="A222" s="43"/>
      <c r="B222" s="43"/>
      <c r="C222" s="43"/>
      <c r="D222" s="43"/>
      <c r="E222" s="43"/>
      <c r="F222" s="43"/>
      <c r="G222" s="43"/>
    </row>
    <row r="223" spans="1:7" x14ac:dyDescent="0.2">
      <c r="A223" s="44"/>
      <c r="B223" s="44"/>
      <c r="C223" s="44"/>
      <c r="D223" s="44"/>
      <c r="E223" s="44"/>
      <c r="F223" s="44"/>
      <c r="G223" s="44"/>
    </row>
    <row r="224" spans="1:7" x14ac:dyDescent="0.2">
      <c r="A224" s="43"/>
      <c r="B224" s="43"/>
      <c r="C224" s="43"/>
      <c r="D224" s="43"/>
      <c r="E224" s="43"/>
      <c r="F224" s="43"/>
      <c r="G224" s="43"/>
    </row>
    <row r="225" spans="1:7" x14ac:dyDescent="0.2">
      <c r="A225" s="44"/>
      <c r="B225" s="44"/>
      <c r="C225" s="44"/>
      <c r="D225" s="44"/>
      <c r="E225" s="44"/>
      <c r="F225" s="44"/>
      <c r="G225" s="44"/>
    </row>
    <row r="226" spans="1:7" x14ac:dyDescent="0.2">
      <c r="A226" s="43"/>
      <c r="B226" s="43"/>
      <c r="C226" s="43"/>
      <c r="D226" s="43"/>
      <c r="E226" s="43"/>
      <c r="F226" s="43"/>
      <c r="G226" s="43"/>
    </row>
    <row r="227" spans="1:7" x14ac:dyDescent="0.2">
      <c r="A227" s="44"/>
      <c r="B227" s="44"/>
      <c r="C227" s="44"/>
      <c r="D227" s="44"/>
      <c r="E227" s="44"/>
      <c r="F227" s="44"/>
      <c r="G227" s="44"/>
    </row>
    <row r="228" spans="1:7" x14ac:dyDescent="0.2">
      <c r="A228" s="43"/>
      <c r="B228" s="43"/>
      <c r="C228" s="43"/>
      <c r="D228" s="43"/>
      <c r="E228" s="43"/>
      <c r="F228" s="43"/>
      <c r="G228" s="43"/>
    </row>
    <row r="229" spans="1:7" x14ac:dyDescent="0.2">
      <c r="A229" s="44"/>
      <c r="B229" s="44"/>
      <c r="C229" s="44"/>
      <c r="D229" s="44"/>
      <c r="E229" s="44"/>
      <c r="F229" s="44"/>
      <c r="G229" s="44"/>
    </row>
    <row r="230" spans="1:7" x14ac:dyDescent="0.2">
      <c r="A230" s="43"/>
      <c r="B230" s="43"/>
      <c r="C230" s="43"/>
      <c r="D230" s="43"/>
      <c r="E230" s="43"/>
      <c r="F230" s="43"/>
      <c r="G230" s="43"/>
    </row>
    <row r="231" spans="1:7" x14ac:dyDescent="0.2">
      <c r="A231" s="44"/>
      <c r="B231" s="44"/>
      <c r="C231" s="44"/>
      <c r="D231" s="44"/>
      <c r="E231" s="44"/>
      <c r="F231" s="44"/>
      <c r="G231" s="44"/>
    </row>
    <row r="232" spans="1:7" x14ac:dyDescent="0.2">
      <c r="A232" s="43"/>
      <c r="B232" s="43"/>
      <c r="C232" s="43"/>
      <c r="D232" s="43"/>
      <c r="E232" s="43"/>
      <c r="F232" s="43"/>
      <c r="G232" s="43"/>
    </row>
    <row r="233" spans="1:7" x14ac:dyDescent="0.2">
      <c r="A233" s="44"/>
      <c r="B233" s="44"/>
      <c r="C233" s="44"/>
      <c r="D233" s="44"/>
      <c r="E233" s="44"/>
      <c r="F233" s="44"/>
      <c r="G233" s="44"/>
    </row>
    <row r="234" spans="1:7" x14ac:dyDescent="0.2">
      <c r="A234" s="43"/>
      <c r="B234" s="43"/>
      <c r="C234" s="43"/>
      <c r="D234" s="43"/>
      <c r="E234" s="43"/>
      <c r="F234" s="43"/>
      <c r="G234" s="43"/>
    </row>
    <row r="235" spans="1:7" x14ac:dyDescent="0.2">
      <c r="A235" s="44"/>
      <c r="B235" s="44"/>
      <c r="C235" s="44"/>
      <c r="D235" s="44"/>
      <c r="E235" s="44"/>
      <c r="F235" s="44"/>
      <c r="G235" s="44"/>
    </row>
    <row r="236" spans="1:7" x14ac:dyDescent="0.2">
      <c r="A236" s="43"/>
      <c r="B236" s="43"/>
      <c r="C236" s="43"/>
      <c r="D236" s="43"/>
      <c r="E236" s="43"/>
      <c r="F236" s="43"/>
      <c r="G236" s="43"/>
    </row>
    <row r="237" spans="1:7" x14ac:dyDescent="0.2">
      <c r="A237" s="44"/>
      <c r="B237" s="44"/>
      <c r="C237" s="44"/>
      <c r="D237" s="44"/>
      <c r="E237" s="44"/>
      <c r="F237" s="44"/>
      <c r="G237" s="44"/>
    </row>
    <row r="238" spans="1:7" x14ac:dyDescent="0.2">
      <c r="A238" s="43"/>
      <c r="B238" s="43"/>
      <c r="C238" s="43"/>
      <c r="D238" s="43"/>
      <c r="E238" s="43"/>
      <c r="F238" s="43"/>
      <c r="G238" s="43"/>
    </row>
    <row r="239" spans="1:7" x14ac:dyDescent="0.2">
      <c r="A239" s="44"/>
      <c r="B239" s="44"/>
      <c r="C239" s="44"/>
      <c r="D239" s="44"/>
      <c r="E239" s="44"/>
      <c r="F239" s="44"/>
      <c r="G239" s="44"/>
    </row>
    <row r="240" spans="1:7" x14ac:dyDescent="0.2">
      <c r="A240" s="43"/>
      <c r="B240" s="43"/>
      <c r="C240" s="43"/>
      <c r="D240" s="43"/>
      <c r="E240" s="43"/>
      <c r="F240" s="43"/>
      <c r="G240" s="43"/>
    </row>
    <row r="241" spans="1:7" x14ac:dyDescent="0.2">
      <c r="A241" s="44"/>
      <c r="B241" s="44"/>
      <c r="C241" s="44"/>
      <c r="D241" s="44"/>
      <c r="E241" s="44"/>
      <c r="F241" s="44"/>
      <c r="G241" s="44"/>
    </row>
    <row r="242" spans="1:7" x14ac:dyDescent="0.2">
      <c r="A242" s="43"/>
      <c r="B242" s="43"/>
      <c r="C242" s="43"/>
      <c r="D242" s="43"/>
      <c r="E242" s="43"/>
      <c r="F242" s="43"/>
      <c r="G242" s="43"/>
    </row>
    <row r="243" spans="1:7" x14ac:dyDescent="0.2">
      <c r="A243" s="44"/>
      <c r="B243" s="44"/>
      <c r="C243" s="44"/>
      <c r="D243" s="44"/>
      <c r="E243" s="44"/>
      <c r="F243" s="44"/>
      <c r="G243" s="44"/>
    </row>
    <row r="244" spans="1:7" x14ac:dyDescent="0.2">
      <c r="A244" s="43"/>
      <c r="B244" s="43"/>
      <c r="C244" s="43"/>
      <c r="D244" s="43"/>
      <c r="E244" s="43"/>
      <c r="F244" s="43"/>
      <c r="G244" s="43"/>
    </row>
    <row r="245" spans="1:7" x14ac:dyDescent="0.2">
      <c r="A245" s="44"/>
      <c r="B245" s="44"/>
      <c r="C245" s="44"/>
      <c r="D245" s="44"/>
      <c r="E245" s="44"/>
      <c r="F245" s="44"/>
      <c r="G245" s="44"/>
    </row>
    <row r="246" spans="1:7" x14ac:dyDescent="0.2">
      <c r="A246" s="43"/>
      <c r="B246" s="43"/>
      <c r="C246" s="43"/>
      <c r="D246" s="43"/>
      <c r="E246" s="43"/>
      <c r="F246" s="43"/>
      <c r="G246" s="43"/>
    </row>
    <row r="247" spans="1:7" x14ac:dyDescent="0.2">
      <c r="A247" s="44"/>
      <c r="B247" s="44"/>
      <c r="C247" s="44"/>
      <c r="D247" s="44"/>
      <c r="E247" s="44"/>
      <c r="F247" s="44"/>
      <c r="G247" s="44"/>
    </row>
    <row r="248" spans="1:7" x14ac:dyDescent="0.2">
      <c r="A248" s="43"/>
      <c r="B248" s="43"/>
      <c r="C248" s="43"/>
      <c r="D248" s="43"/>
      <c r="E248" s="43"/>
      <c r="F248" s="43"/>
      <c r="G248" s="43"/>
    </row>
    <row r="249" spans="1:7" x14ac:dyDescent="0.2">
      <c r="A249" s="44"/>
      <c r="B249" s="44"/>
      <c r="C249" s="44"/>
      <c r="D249" s="44"/>
      <c r="E249" s="44"/>
      <c r="F249" s="44"/>
      <c r="G249" s="44"/>
    </row>
    <row r="250" spans="1:7" x14ac:dyDescent="0.2">
      <c r="A250" s="43"/>
      <c r="B250" s="43"/>
      <c r="C250" s="43"/>
      <c r="D250" s="43"/>
      <c r="E250" s="43"/>
      <c r="F250" s="43"/>
      <c r="G250" s="43"/>
    </row>
    <row r="251" spans="1:7" x14ac:dyDescent="0.2">
      <c r="A251" s="44"/>
      <c r="B251" s="44"/>
      <c r="C251" s="44"/>
      <c r="D251" s="44"/>
      <c r="E251" s="44"/>
      <c r="F251" s="44"/>
      <c r="G251" s="44"/>
    </row>
    <row r="252" spans="1:7" x14ac:dyDescent="0.2">
      <c r="A252" s="43"/>
      <c r="B252" s="43"/>
      <c r="C252" s="43"/>
      <c r="D252" s="43"/>
      <c r="E252" s="43"/>
      <c r="F252" s="43"/>
      <c r="G252" s="43"/>
    </row>
    <row r="253" spans="1:7" x14ac:dyDescent="0.2">
      <c r="A253" s="44"/>
      <c r="B253" s="44"/>
      <c r="C253" s="44"/>
      <c r="D253" s="44"/>
      <c r="E253" s="44"/>
      <c r="F253" s="44"/>
      <c r="G253" s="44"/>
    </row>
    <row r="254" spans="1:7" x14ac:dyDescent="0.2">
      <c r="A254" s="43"/>
      <c r="B254" s="43"/>
      <c r="C254" s="43"/>
      <c r="D254" s="43"/>
      <c r="E254" s="43"/>
      <c r="F254" s="43"/>
      <c r="G254" s="43"/>
    </row>
    <row r="255" spans="1:7" x14ac:dyDescent="0.2">
      <c r="A255" s="44"/>
      <c r="B255" s="44"/>
      <c r="C255" s="44"/>
      <c r="D255" s="44"/>
      <c r="E255" s="44"/>
      <c r="F255" s="44"/>
      <c r="G255" s="44"/>
    </row>
    <row r="256" spans="1:7" x14ac:dyDescent="0.2">
      <c r="A256" s="43"/>
      <c r="B256" s="43"/>
      <c r="C256" s="43"/>
      <c r="D256" s="43"/>
      <c r="E256" s="43"/>
      <c r="F256" s="43"/>
      <c r="G256" s="43"/>
    </row>
    <row r="257" spans="1:7" x14ac:dyDescent="0.2">
      <c r="A257" s="44"/>
      <c r="B257" s="44"/>
      <c r="C257" s="44"/>
      <c r="D257" s="44"/>
      <c r="E257" s="44"/>
      <c r="F257" s="44"/>
      <c r="G257" s="44"/>
    </row>
    <row r="258" spans="1:7" x14ac:dyDescent="0.2">
      <c r="A258" s="43"/>
      <c r="B258" s="43"/>
      <c r="C258" s="43"/>
      <c r="D258" s="43"/>
      <c r="E258" s="43"/>
      <c r="F258" s="43"/>
      <c r="G258" s="43"/>
    </row>
    <row r="259" spans="1:7" x14ac:dyDescent="0.2">
      <c r="A259" s="44"/>
      <c r="B259" s="44"/>
      <c r="C259" s="44"/>
      <c r="D259" s="44"/>
      <c r="E259" s="44"/>
      <c r="F259" s="44"/>
      <c r="G259" s="44"/>
    </row>
    <row r="260" spans="1:7" x14ac:dyDescent="0.2">
      <c r="A260" s="43"/>
      <c r="B260" s="43"/>
      <c r="C260" s="43"/>
      <c r="D260" s="43"/>
      <c r="E260" s="43"/>
      <c r="F260" s="43"/>
      <c r="G260" s="43"/>
    </row>
    <row r="261" spans="1:7" x14ac:dyDescent="0.2">
      <c r="A261" s="44"/>
      <c r="B261" s="44"/>
      <c r="C261" s="44"/>
      <c r="D261" s="44"/>
      <c r="E261" s="44"/>
      <c r="F261" s="44"/>
      <c r="G261" s="44"/>
    </row>
    <row r="262" spans="1:7" x14ac:dyDescent="0.2">
      <c r="A262" s="43"/>
      <c r="B262" s="43"/>
      <c r="C262" s="43"/>
      <c r="D262" s="43"/>
      <c r="E262" s="43"/>
      <c r="F262" s="43"/>
      <c r="G262" s="43"/>
    </row>
    <row r="263" spans="1:7" x14ac:dyDescent="0.2">
      <c r="A263" s="44"/>
      <c r="B263" s="44"/>
      <c r="C263" s="44"/>
      <c r="D263" s="44"/>
      <c r="E263" s="44"/>
      <c r="F263" s="44"/>
      <c r="G263" s="44"/>
    </row>
    <row r="264" spans="1:7" x14ac:dyDescent="0.2">
      <c r="A264" s="43"/>
      <c r="B264" s="43"/>
      <c r="C264" s="43"/>
      <c r="D264" s="43"/>
      <c r="E264" s="43"/>
      <c r="F264" s="43"/>
      <c r="G264" s="43"/>
    </row>
    <row r="265" spans="1:7" x14ac:dyDescent="0.2">
      <c r="A265" s="44"/>
      <c r="B265" s="44"/>
      <c r="C265" s="44"/>
      <c r="D265" s="44"/>
      <c r="E265" s="44"/>
      <c r="F265" s="44"/>
      <c r="G265" s="44"/>
    </row>
    <row r="266" spans="1:7" x14ac:dyDescent="0.2">
      <c r="A266" s="43"/>
      <c r="B266" s="43"/>
      <c r="C266" s="43"/>
      <c r="D266" s="43"/>
      <c r="E266" s="43"/>
      <c r="F266" s="43"/>
      <c r="G266" s="43"/>
    </row>
    <row r="267" spans="1:7" x14ac:dyDescent="0.2">
      <c r="A267" s="44"/>
      <c r="B267" s="44"/>
      <c r="C267" s="44"/>
      <c r="D267" s="44"/>
      <c r="E267" s="44"/>
      <c r="F267" s="44"/>
      <c r="G267" s="44"/>
    </row>
    <row r="268" spans="1:7" x14ac:dyDescent="0.2">
      <c r="A268" s="43"/>
      <c r="B268" s="43"/>
      <c r="C268" s="43"/>
      <c r="D268" s="43"/>
      <c r="E268" s="43"/>
      <c r="F268" s="43"/>
      <c r="G268" s="43"/>
    </row>
    <row r="269" spans="1:7" x14ac:dyDescent="0.2">
      <c r="A269" s="44"/>
      <c r="B269" s="44"/>
      <c r="C269" s="44"/>
      <c r="D269" s="44"/>
      <c r="E269" s="44"/>
      <c r="F269" s="44"/>
      <c r="G269" s="44"/>
    </row>
    <row r="270" spans="1:7" x14ac:dyDescent="0.2">
      <c r="A270" s="43"/>
      <c r="B270" s="43"/>
      <c r="C270" s="43"/>
      <c r="D270" s="43"/>
      <c r="E270" s="43"/>
      <c r="F270" s="43"/>
      <c r="G270" s="43"/>
    </row>
    <row r="271" spans="1:7" x14ac:dyDescent="0.2">
      <c r="A271" s="44"/>
      <c r="B271" s="44"/>
      <c r="C271" s="44"/>
      <c r="D271" s="44"/>
      <c r="E271" s="44"/>
      <c r="F271" s="44"/>
      <c r="G271" s="44"/>
    </row>
    <row r="272" spans="1:7" x14ac:dyDescent="0.2">
      <c r="A272" s="43"/>
      <c r="B272" s="43"/>
      <c r="C272" s="43"/>
      <c r="D272" s="43"/>
      <c r="E272" s="43"/>
      <c r="F272" s="43"/>
      <c r="G272" s="43"/>
    </row>
    <row r="273" spans="1:7" x14ac:dyDescent="0.2">
      <c r="A273" s="44"/>
      <c r="B273" s="44"/>
      <c r="C273" s="44"/>
      <c r="D273" s="44"/>
      <c r="E273" s="44"/>
      <c r="F273" s="44"/>
      <c r="G273" s="44"/>
    </row>
    <row r="274" spans="1:7" x14ac:dyDescent="0.2">
      <c r="A274" s="43"/>
      <c r="B274" s="43"/>
      <c r="C274" s="43"/>
      <c r="D274" s="43"/>
      <c r="E274" s="43"/>
      <c r="F274" s="43"/>
      <c r="G274" s="43"/>
    </row>
    <row r="275" spans="1:7" x14ac:dyDescent="0.2">
      <c r="A275" s="44"/>
      <c r="B275" s="44"/>
      <c r="C275" s="44"/>
      <c r="D275" s="44"/>
      <c r="E275" s="44"/>
      <c r="F275" s="44"/>
      <c r="G275" s="44"/>
    </row>
    <row r="276" spans="1:7" x14ac:dyDescent="0.2">
      <c r="A276" s="43"/>
      <c r="B276" s="43"/>
      <c r="C276" s="43"/>
      <c r="D276" s="43"/>
      <c r="E276" s="43"/>
      <c r="F276" s="43"/>
      <c r="G276" s="43"/>
    </row>
    <row r="277" spans="1:7" x14ac:dyDescent="0.2">
      <c r="A277" s="44"/>
      <c r="B277" s="44"/>
      <c r="C277" s="44"/>
      <c r="D277" s="44"/>
      <c r="E277" s="44"/>
      <c r="F277" s="44"/>
      <c r="G277" s="44"/>
    </row>
    <row r="278" spans="1:7" x14ac:dyDescent="0.2">
      <c r="A278" s="43"/>
      <c r="B278" s="43"/>
      <c r="C278" s="43"/>
      <c r="D278" s="43"/>
      <c r="E278" s="43"/>
      <c r="F278" s="43"/>
      <c r="G278" s="43"/>
    </row>
    <row r="279" spans="1:7" x14ac:dyDescent="0.2">
      <c r="A279" s="44"/>
      <c r="B279" s="44"/>
      <c r="C279" s="44"/>
      <c r="D279" s="44"/>
      <c r="E279" s="44"/>
      <c r="F279" s="44"/>
      <c r="G279" s="44"/>
    </row>
    <row r="280" spans="1:7" x14ac:dyDescent="0.2">
      <c r="A280" s="43"/>
      <c r="B280" s="43"/>
      <c r="C280" s="43"/>
      <c r="D280" s="43"/>
      <c r="E280" s="43"/>
      <c r="F280" s="43"/>
      <c r="G280" s="43"/>
    </row>
    <row r="281" spans="1:7" x14ac:dyDescent="0.2">
      <c r="A281" s="44"/>
      <c r="B281" s="44"/>
      <c r="C281" s="44"/>
      <c r="D281" s="44"/>
      <c r="E281" s="44"/>
      <c r="F281" s="44"/>
      <c r="G281" s="44"/>
    </row>
    <row r="282" spans="1:7" x14ac:dyDescent="0.2">
      <c r="A282" s="43"/>
      <c r="B282" s="43"/>
      <c r="C282" s="43"/>
      <c r="D282" s="43"/>
      <c r="E282" s="43"/>
      <c r="F282" s="43"/>
      <c r="G282" s="43"/>
    </row>
    <row r="283" spans="1:7" x14ac:dyDescent="0.2">
      <c r="A283" s="44"/>
      <c r="B283" s="44"/>
      <c r="C283" s="44"/>
      <c r="D283" s="44"/>
      <c r="E283" s="44"/>
      <c r="F283" s="44"/>
      <c r="G283" s="44"/>
    </row>
    <row r="284" spans="1:7" x14ac:dyDescent="0.2">
      <c r="A284" s="43"/>
      <c r="B284" s="43"/>
      <c r="C284" s="43"/>
      <c r="D284" s="43"/>
      <c r="E284" s="43"/>
      <c r="F284" s="43"/>
      <c r="G284" s="43"/>
    </row>
    <row r="285" spans="1:7" x14ac:dyDescent="0.2">
      <c r="A285" s="44"/>
      <c r="B285" s="44"/>
      <c r="C285" s="44"/>
      <c r="D285" s="44"/>
      <c r="E285" s="44"/>
      <c r="F285" s="44"/>
      <c r="G285" s="44"/>
    </row>
    <row r="286" spans="1:7" x14ac:dyDescent="0.2">
      <c r="A286" s="43"/>
      <c r="B286" s="43"/>
      <c r="C286" s="43"/>
      <c r="D286" s="43"/>
      <c r="E286" s="43"/>
      <c r="F286" s="43"/>
      <c r="G286" s="43"/>
    </row>
    <row r="287" spans="1:7" x14ac:dyDescent="0.2">
      <c r="A287" s="44"/>
      <c r="B287" s="44"/>
      <c r="C287" s="44"/>
      <c r="D287" s="44"/>
      <c r="E287" s="44"/>
      <c r="F287" s="44"/>
      <c r="G287" s="44"/>
    </row>
    <row r="288" spans="1:7" x14ac:dyDescent="0.2">
      <c r="A288" s="43"/>
      <c r="B288" s="43"/>
      <c r="C288" s="43"/>
      <c r="D288" s="43"/>
      <c r="E288" s="43"/>
      <c r="F288" s="43"/>
      <c r="G288" s="43"/>
    </row>
    <row r="289" spans="1:7" x14ac:dyDescent="0.2">
      <c r="A289" s="44"/>
      <c r="B289" s="44"/>
      <c r="C289" s="44"/>
      <c r="D289" s="44"/>
      <c r="E289" s="44"/>
      <c r="F289" s="44"/>
      <c r="G289" s="44"/>
    </row>
    <row r="290" spans="1:7" x14ac:dyDescent="0.2">
      <c r="A290" s="43"/>
      <c r="B290" s="43"/>
      <c r="C290" s="43"/>
      <c r="D290" s="43"/>
      <c r="E290" s="43"/>
      <c r="F290" s="43"/>
      <c r="G290" s="43"/>
    </row>
    <row r="291" spans="1:7" x14ac:dyDescent="0.2">
      <c r="A291" s="44"/>
      <c r="B291" s="44"/>
      <c r="C291" s="44"/>
      <c r="D291" s="44"/>
      <c r="E291" s="44"/>
      <c r="F291" s="44"/>
      <c r="G291" s="44"/>
    </row>
    <row r="292" spans="1:7" x14ac:dyDescent="0.2">
      <c r="A292" s="43"/>
      <c r="B292" s="43"/>
      <c r="C292" s="43"/>
      <c r="D292" s="43"/>
      <c r="E292" s="43"/>
      <c r="F292" s="43"/>
      <c r="G292" s="43"/>
    </row>
    <row r="293" spans="1:7" x14ac:dyDescent="0.2">
      <c r="A293" s="44"/>
      <c r="B293" s="44"/>
      <c r="C293" s="44"/>
      <c r="D293" s="44"/>
      <c r="E293" s="44"/>
      <c r="F293" s="44"/>
      <c r="G293" s="44"/>
    </row>
    <row r="294" spans="1:7" x14ac:dyDescent="0.2">
      <c r="A294" s="43"/>
      <c r="B294" s="43"/>
      <c r="C294" s="43"/>
      <c r="D294" s="43"/>
      <c r="E294" s="43"/>
      <c r="F294" s="43"/>
      <c r="G294" s="43"/>
    </row>
    <row r="295" spans="1:7" x14ac:dyDescent="0.2">
      <c r="A295" s="44"/>
      <c r="B295" s="44"/>
      <c r="C295" s="44"/>
      <c r="D295" s="44"/>
      <c r="E295" s="44"/>
      <c r="F295" s="44"/>
      <c r="G295" s="44"/>
    </row>
    <row r="296" spans="1:7" x14ac:dyDescent="0.2">
      <c r="A296" s="43"/>
      <c r="B296" s="43"/>
      <c r="C296" s="43"/>
      <c r="D296" s="43"/>
      <c r="E296" s="43"/>
      <c r="F296" s="43"/>
      <c r="G296" s="43"/>
    </row>
    <row r="297" spans="1:7" x14ac:dyDescent="0.2">
      <c r="A297" s="44"/>
      <c r="B297" s="44"/>
      <c r="C297" s="44"/>
      <c r="D297" s="44"/>
      <c r="E297" s="44"/>
      <c r="F297" s="44"/>
      <c r="G297" s="44"/>
    </row>
    <row r="298" spans="1:7" x14ac:dyDescent="0.2">
      <c r="A298" s="43"/>
      <c r="B298" s="43"/>
      <c r="C298" s="43"/>
      <c r="D298" s="43"/>
      <c r="E298" s="43"/>
      <c r="F298" s="43"/>
      <c r="G298" s="43"/>
    </row>
    <row r="299" spans="1:7" x14ac:dyDescent="0.2">
      <c r="A299" s="44"/>
      <c r="B299" s="44"/>
      <c r="C299" s="44"/>
      <c r="D299" s="44"/>
      <c r="E299" s="44"/>
      <c r="F299" s="44"/>
      <c r="G299" s="44"/>
    </row>
    <row r="300" spans="1:7" x14ac:dyDescent="0.2">
      <c r="A300" s="43"/>
      <c r="B300" s="43"/>
      <c r="C300" s="43"/>
      <c r="D300" s="43"/>
      <c r="E300" s="43"/>
      <c r="F300" s="43"/>
      <c r="G300" s="43"/>
    </row>
    <row r="301" spans="1:7" x14ac:dyDescent="0.2">
      <c r="A301" s="44"/>
      <c r="B301" s="44"/>
      <c r="C301" s="44"/>
      <c r="D301" s="44"/>
      <c r="E301" s="44"/>
      <c r="F301" s="44"/>
      <c r="G301" s="44"/>
    </row>
    <row r="302" spans="1:7" x14ac:dyDescent="0.2">
      <c r="A302" s="43"/>
      <c r="B302" s="43"/>
      <c r="C302" s="43"/>
      <c r="D302" s="43"/>
      <c r="E302" s="43"/>
      <c r="F302" s="43"/>
      <c r="G302" s="43"/>
    </row>
    <row r="303" spans="1:7" x14ac:dyDescent="0.2">
      <c r="A303" s="44"/>
      <c r="B303" s="44"/>
      <c r="C303" s="44"/>
      <c r="D303" s="44"/>
      <c r="E303" s="44"/>
      <c r="F303" s="44"/>
      <c r="G303" s="44"/>
    </row>
    <row r="304" spans="1:7" x14ac:dyDescent="0.2">
      <c r="A304" s="43"/>
      <c r="B304" s="43"/>
      <c r="C304" s="43"/>
      <c r="D304" s="43"/>
      <c r="E304" s="43"/>
      <c r="F304" s="43"/>
      <c r="G304" s="43"/>
    </row>
    <row r="305" spans="1:7" x14ac:dyDescent="0.2">
      <c r="A305" s="44"/>
      <c r="B305" s="44"/>
      <c r="C305" s="44"/>
      <c r="D305" s="44"/>
      <c r="E305" s="44"/>
      <c r="F305" s="44"/>
      <c r="G305" s="44"/>
    </row>
    <row r="306" spans="1:7" x14ac:dyDescent="0.2">
      <c r="A306" s="43"/>
      <c r="B306" s="43"/>
      <c r="C306" s="43"/>
      <c r="D306" s="43"/>
      <c r="E306" s="43"/>
      <c r="F306" s="43"/>
      <c r="G306" s="43"/>
    </row>
    <row r="307" spans="1:7" x14ac:dyDescent="0.2">
      <c r="A307" s="44"/>
      <c r="B307" s="44"/>
      <c r="C307" s="44"/>
      <c r="D307" s="44"/>
      <c r="E307" s="44"/>
      <c r="F307" s="44"/>
      <c r="G307" s="44"/>
    </row>
    <row r="308" spans="1:7" x14ac:dyDescent="0.2">
      <c r="A308" s="43"/>
      <c r="B308" s="43"/>
      <c r="C308" s="43"/>
      <c r="D308" s="43"/>
      <c r="E308" s="43"/>
      <c r="F308" s="43"/>
      <c r="G308" s="43"/>
    </row>
    <row r="309" spans="1:7" x14ac:dyDescent="0.2">
      <c r="A309" s="44"/>
      <c r="B309" s="44"/>
      <c r="C309" s="44"/>
      <c r="D309" s="44"/>
      <c r="E309" s="44"/>
      <c r="F309" s="44"/>
      <c r="G309" s="44"/>
    </row>
    <row r="310" spans="1:7" x14ac:dyDescent="0.2">
      <c r="A310" s="43"/>
      <c r="B310" s="43"/>
      <c r="C310" s="43"/>
      <c r="D310" s="43"/>
      <c r="E310" s="43"/>
      <c r="F310" s="43"/>
      <c r="G310" s="43"/>
    </row>
    <row r="311" spans="1:7" x14ac:dyDescent="0.2">
      <c r="A311" s="44"/>
      <c r="B311" s="44"/>
      <c r="C311" s="44"/>
      <c r="D311" s="44"/>
      <c r="E311" s="44"/>
      <c r="F311" s="44"/>
      <c r="G311" s="44"/>
    </row>
    <row r="312" spans="1:7" x14ac:dyDescent="0.2">
      <c r="A312" s="43"/>
      <c r="B312" s="43"/>
      <c r="C312" s="43"/>
      <c r="D312" s="43"/>
      <c r="E312" s="43"/>
      <c r="F312" s="43"/>
      <c r="G312" s="43"/>
    </row>
    <row r="313" spans="1:7" x14ac:dyDescent="0.2">
      <c r="A313" s="44"/>
      <c r="B313" s="44"/>
      <c r="C313" s="44"/>
      <c r="D313" s="44"/>
      <c r="E313" s="44"/>
      <c r="F313" s="44"/>
      <c r="G313" s="44"/>
    </row>
    <row r="314" spans="1:7" x14ac:dyDescent="0.2">
      <c r="A314" s="43"/>
      <c r="B314" s="43"/>
      <c r="C314" s="43"/>
      <c r="D314" s="43"/>
      <c r="E314" s="43"/>
      <c r="F314" s="43"/>
      <c r="G314" s="43"/>
    </row>
    <row r="315" spans="1:7" x14ac:dyDescent="0.2">
      <c r="A315" s="44"/>
      <c r="B315" s="44"/>
      <c r="C315" s="44"/>
      <c r="D315" s="44"/>
      <c r="E315" s="44"/>
      <c r="F315" s="44"/>
      <c r="G315" s="44"/>
    </row>
    <row r="316" spans="1:7" x14ac:dyDescent="0.2">
      <c r="A316" s="43"/>
      <c r="B316" s="43"/>
      <c r="C316" s="43"/>
      <c r="D316" s="43"/>
      <c r="E316" s="43"/>
      <c r="F316" s="43"/>
      <c r="G316" s="43"/>
    </row>
    <row r="317" spans="1:7" x14ac:dyDescent="0.2">
      <c r="A317" s="44"/>
      <c r="B317" s="44"/>
      <c r="C317" s="44"/>
      <c r="D317" s="44"/>
      <c r="E317" s="44"/>
      <c r="F317" s="44"/>
      <c r="G317" s="44"/>
    </row>
    <row r="318" spans="1:7" x14ac:dyDescent="0.2">
      <c r="A318" s="43"/>
      <c r="B318" s="43"/>
      <c r="C318" s="43"/>
      <c r="D318" s="43"/>
      <c r="E318" s="43"/>
      <c r="F318" s="43"/>
      <c r="G318" s="43"/>
    </row>
    <row r="319" spans="1:7" x14ac:dyDescent="0.2">
      <c r="A319" s="44"/>
      <c r="B319" s="44"/>
      <c r="C319" s="44"/>
      <c r="D319" s="44"/>
      <c r="E319" s="44"/>
      <c r="F319" s="44"/>
      <c r="G319" s="44"/>
    </row>
    <row r="320" spans="1:7" x14ac:dyDescent="0.2">
      <c r="A320" s="43"/>
      <c r="B320" s="43"/>
      <c r="C320" s="43"/>
      <c r="D320" s="43"/>
      <c r="E320" s="43"/>
      <c r="F320" s="43"/>
      <c r="G320" s="43"/>
    </row>
    <row r="321" spans="1:7" x14ac:dyDescent="0.2">
      <c r="A321" s="44"/>
      <c r="B321" s="44"/>
      <c r="C321" s="44"/>
      <c r="D321" s="44"/>
      <c r="E321" s="44"/>
      <c r="F321" s="44"/>
      <c r="G321" s="44"/>
    </row>
    <row r="322" spans="1:7" x14ac:dyDescent="0.2">
      <c r="A322" s="43"/>
      <c r="B322" s="43"/>
      <c r="C322" s="43"/>
      <c r="D322" s="43"/>
      <c r="E322" s="43"/>
      <c r="F322" s="43"/>
      <c r="G322" s="43"/>
    </row>
    <row r="323" spans="1:7" x14ac:dyDescent="0.2">
      <c r="A323" s="44"/>
      <c r="B323" s="44"/>
      <c r="C323" s="44"/>
      <c r="D323" s="44"/>
      <c r="E323" s="44"/>
      <c r="F323" s="44"/>
      <c r="G323" s="44"/>
    </row>
    <row r="324" spans="1:7" x14ac:dyDescent="0.2">
      <c r="A324" s="43"/>
      <c r="B324" s="43"/>
      <c r="C324" s="43"/>
      <c r="D324" s="43"/>
      <c r="E324" s="43"/>
      <c r="F324" s="43"/>
      <c r="G324" s="43"/>
    </row>
    <row r="325" spans="1:7" x14ac:dyDescent="0.2">
      <c r="A325" s="44"/>
      <c r="B325" s="44"/>
      <c r="C325" s="44"/>
      <c r="D325" s="44"/>
      <c r="E325" s="44"/>
      <c r="F325" s="44"/>
      <c r="G325" s="44"/>
    </row>
    <row r="326" spans="1:7" x14ac:dyDescent="0.2">
      <c r="A326" s="43"/>
      <c r="B326" s="43"/>
      <c r="C326" s="43"/>
      <c r="D326" s="43"/>
      <c r="E326" s="43"/>
      <c r="F326" s="43"/>
      <c r="G326" s="43"/>
    </row>
    <row r="327" spans="1:7" x14ac:dyDescent="0.2">
      <c r="A327" s="44"/>
      <c r="B327" s="44"/>
      <c r="C327" s="44"/>
      <c r="D327" s="44"/>
      <c r="E327" s="44"/>
      <c r="F327" s="44"/>
      <c r="G327" s="44"/>
    </row>
    <row r="328" spans="1:7" x14ac:dyDescent="0.2">
      <c r="A328" s="43"/>
      <c r="B328" s="43"/>
      <c r="C328" s="43"/>
      <c r="D328" s="43"/>
      <c r="E328" s="43"/>
      <c r="F328" s="43"/>
      <c r="G328" s="43"/>
    </row>
    <row r="329" spans="1:7" x14ac:dyDescent="0.2">
      <c r="A329" s="44"/>
      <c r="B329" s="44"/>
      <c r="C329" s="44"/>
      <c r="D329" s="44"/>
      <c r="E329" s="44"/>
      <c r="F329" s="44"/>
      <c r="G329" s="44"/>
    </row>
    <row r="330" spans="1:7" x14ac:dyDescent="0.2">
      <c r="A330" s="43"/>
      <c r="B330" s="43"/>
      <c r="C330" s="43"/>
      <c r="D330" s="43"/>
      <c r="E330" s="43"/>
      <c r="F330" s="43"/>
      <c r="G330" s="43"/>
    </row>
    <row r="331" spans="1:7" x14ac:dyDescent="0.2">
      <c r="A331" s="44"/>
      <c r="B331" s="44"/>
      <c r="C331" s="44"/>
      <c r="D331" s="44"/>
      <c r="E331" s="44"/>
      <c r="F331" s="44"/>
      <c r="G331" s="44"/>
    </row>
    <row r="332" spans="1:7" x14ac:dyDescent="0.2">
      <c r="A332" s="43"/>
      <c r="B332" s="43"/>
      <c r="C332" s="43"/>
      <c r="D332" s="43"/>
      <c r="E332" s="43"/>
      <c r="F332" s="43"/>
      <c r="G332" s="43"/>
    </row>
    <row r="333" spans="1:7" x14ac:dyDescent="0.2">
      <c r="A333" s="44"/>
      <c r="B333" s="44"/>
      <c r="C333" s="44"/>
      <c r="D333" s="44"/>
      <c r="E333" s="44"/>
      <c r="F333" s="44"/>
      <c r="G333" s="44"/>
    </row>
    <row r="334" spans="1:7" x14ac:dyDescent="0.2">
      <c r="A334" s="43"/>
      <c r="B334" s="43"/>
      <c r="C334" s="43"/>
      <c r="D334" s="43"/>
      <c r="E334" s="43"/>
      <c r="F334" s="43"/>
      <c r="G334" s="43"/>
    </row>
    <row r="335" spans="1:7" x14ac:dyDescent="0.2">
      <c r="A335" s="44"/>
      <c r="B335" s="44"/>
      <c r="C335" s="44"/>
      <c r="D335" s="44"/>
      <c r="E335" s="44"/>
      <c r="F335" s="44"/>
      <c r="G335" s="44"/>
    </row>
    <row r="336" spans="1:7" x14ac:dyDescent="0.2">
      <c r="A336" s="43"/>
      <c r="B336" s="43"/>
      <c r="C336" s="43"/>
      <c r="D336" s="43"/>
      <c r="E336" s="43"/>
      <c r="F336" s="43"/>
      <c r="G336" s="43"/>
    </row>
    <row r="337" spans="1:7" x14ac:dyDescent="0.2">
      <c r="A337" s="44"/>
      <c r="B337" s="44"/>
      <c r="C337" s="44"/>
      <c r="D337" s="44"/>
      <c r="E337" s="44"/>
      <c r="F337" s="44"/>
      <c r="G337" s="44"/>
    </row>
    <row r="338" spans="1:7" x14ac:dyDescent="0.2">
      <c r="A338" s="43"/>
      <c r="B338" s="43"/>
      <c r="C338" s="43"/>
      <c r="D338" s="43"/>
      <c r="E338" s="43"/>
      <c r="F338" s="43"/>
      <c r="G338" s="43"/>
    </row>
    <row r="339" spans="1:7" x14ac:dyDescent="0.2">
      <c r="A339" s="44"/>
      <c r="B339" s="44"/>
      <c r="C339" s="44"/>
      <c r="D339" s="44"/>
      <c r="E339" s="44"/>
      <c r="F339" s="44"/>
      <c r="G339" s="44"/>
    </row>
    <row r="340" spans="1:7" x14ac:dyDescent="0.2">
      <c r="A340" s="43"/>
      <c r="B340" s="43"/>
      <c r="C340" s="43"/>
      <c r="D340" s="43"/>
      <c r="E340" s="43"/>
      <c r="F340" s="43"/>
      <c r="G340" s="43"/>
    </row>
    <row r="341" spans="1:7" x14ac:dyDescent="0.2">
      <c r="A341" s="44"/>
      <c r="B341" s="44"/>
      <c r="C341" s="44"/>
      <c r="D341" s="44"/>
      <c r="E341" s="44"/>
      <c r="F341" s="44"/>
      <c r="G341" s="44"/>
    </row>
    <row r="342" spans="1:7" x14ac:dyDescent="0.2">
      <c r="A342" s="43"/>
      <c r="B342" s="43"/>
      <c r="C342" s="43"/>
      <c r="D342" s="43"/>
      <c r="E342" s="43"/>
      <c r="F342" s="43"/>
      <c r="G342" s="43"/>
    </row>
    <row r="343" spans="1:7" x14ac:dyDescent="0.2">
      <c r="A343" s="44"/>
      <c r="B343" s="44"/>
      <c r="C343" s="44"/>
      <c r="D343" s="44"/>
      <c r="E343" s="44"/>
      <c r="F343" s="44"/>
      <c r="G343" s="44"/>
    </row>
    <row r="344" spans="1:7" x14ac:dyDescent="0.2">
      <c r="A344" s="43"/>
      <c r="B344" s="43"/>
      <c r="C344" s="43"/>
      <c r="D344" s="43"/>
      <c r="E344" s="43"/>
      <c r="F344" s="43"/>
      <c r="G344" s="43"/>
    </row>
    <row r="345" spans="1:7" x14ac:dyDescent="0.2">
      <c r="A345" s="44"/>
      <c r="B345" s="44"/>
      <c r="C345" s="44"/>
      <c r="D345" s="44"/>
      <c r="E345" s="44"/>
      <c r="F345" s="44"/>
      <c r="G345" s="44"/>
    </row>
    <row r="346" spans="1:7" x14ac:dyDescent="0.2">
      <c r="A346" s="43"/>
      <c r="B346" s="43"/>
      <c r="C346" s="43"/>
      <c r="D346" s="43"/>
      <c r="E346" s="43"/>
      <c r="F346" s="43"/>
      <c r="G346" s="43"/>
    </row>
    <row r="347" spans="1:7" x14ac:dyDescent="0.2">
      <c r="A347" s="44"/>
      <c r="B347" s="44"/>
      <c r="C347" s="44"/>
      <c r="D347" s="44"/>
      <c r="E347" s="44"/>
      <c r="F347" s="44"/>
      <c r="G347" s="44"/>
    </row>
    <row r="348" spans="1:7" x14ac:dyDescent="0.2">
      <c r="A348" s="43"/>
      <c r="B348" s="43"/>
      <c r="C348" s="43"/>
      <c r="D348" s="43"/>
      <c r="E348" s="43"/>
      <c r="F348" s="43"/>
      <c r="G348" s="43"/>
    </row>
    <row r="349" spans="1:7" x14ac:dyDescent="0.2">
      <c r="A349" s="44"/>
      <c r="B349" s="44"/>
      <c r="C349" s="44"/>
      <c r="D349" s="44"/>
      <c r="E349" s="44"/>
      <c r="F349" s="44"/>
      <c r="G349" s="44"/>
    </row>
    <row r="350" spans="1:7" x14ac:dyDescent="0.2">
      <c r="A350" s="43"/>
      <c r="B350" s="43"/>
      <c r="C350" s="43"/>
      <c r="D350" s="43"/>
      <c r="E350" s="43"/>
      <c r="F350" s="43"/>
      <c r="G350" s="43"/>
    </row>
    <row r="351" spans="1:7" x14ac:dyDescent="0.2">
      <c r="A351" s="44"/>
      <c r="B351" s="44"/>
      <c r="C351" s="44"/>
      <c r="D351" s="44"/>
      <c r="E351" s="44"/>
      <c r="F351" s="44"/>
      <c r="G351" s="44"/>
    </row>
    <row r="352" spans="1:7" x14ac:dyDescent="0.2">
      <c r="A352" s="43"/>
      <c r="B352" s="43"/>
      <c r="C352" s="43"/>
      <c r="D352" s="43"/>
      <c r="E352" s="43"/>
      <c r="F352" s="43"/>
      <c r="G352" s="43"/>
    </row>
    <row r="353" spans="1:7" x14ac:dyDescent="0.2">
      <c r="A353" s="44"/>
      <c r="B353" s="44"/>
      <c r="C353" s="44"/>
      <c r="D353" s="44"/>
      <c r="E353" s="44"/>
      <c r="F353" s="44"/>
      <c r="G353" s="44"/>
    </row>
    <row r="354" spans="1:7" x14ac:dyDescent="0.2">
      <c r="A354" s="43"/>
      <c r="B354" s="43"/>
      <c r="C354" s="43"/>
      <c r="D354" s="43"/>
      <c r="E354" s="43"/>
      <c r="F354" s="43"/>
      <c r="G354" s="43"/>
    </row>
    <row r="355" spans="1:7" x14ac:dyDescent="0.2">
      <c r="A355" s="44"/>
      <c r="B355" s="44"/>
      <c r="C355" s="44"/>
      <c r="D355" s="44"/>
      <c r="E355" s="44"/>
      <c r="F355" s="44"/>
      <c r="G355" s="44"/>
    </row>
    <row r="356" spans="1:7" x14ac:dyDescent="0.2">
      <c r="A356" s="43"/>
      <c r="B356" s="43"/>
      <c r="C356" s="43"/>
      <c r="D356" s="43"/>
      <c r="E356" s="43"/>
      <c r="F356" s="43"/>
      <c r="G356" s="43"/>
    </row>
    <row r="357" spans="1:7" x14ac:dyDescent="0.2">
      <c r="A357" s="44"/>
      <c r="B357" s="44"/>
      <c r="C357" s="44"/>
      <c r="D357" s="44"/>
      <c r="E357" s="44"/>
      <c r="F357" s="44"/>
      <c r="G357" s="44"/>
    </row>
    <row r="358" spans="1:7" x14ac:dyDescent="0.2">
      <c r="A358" s="43"/>
      <c r="B358" s="43"/>
      <c r="C358" s="43"/>
      <c r="D358" s="43"/>
      <c r="E358" s="43"/>
      <c r="F358" s="43"/>
      <c r="G358" s="43"/>
    </row>
    <row r="359" spans="1:7" x14ac:dyDescent="0.2">
      <c r="A359" s="44"/>
      <c r="B359" s="44"/>
      <c r="C359" s="44"/>
      <c r="D359" s="44"/>
      <c r="E359" s="44"/>
      <c r="F359" s="44"/>
      <c r="G359" s="44"/>
    </row>
    <row r="360" spans="1:7" x14ac:dyDescent="0.2">
      <c r="A360" s="43"/>
      <c r="B360" s="43"/>
      <c r="C360" s="43"/>
      <c r="D360" s="43"/>
      <c r="E360" s="43"/>
      <c r="F360" s="43"/>
      <c r="G360" s="43"/>
    </row>
    <row r="361" spans="1:7" x14ac:dyDescent="0.2">
      <c r="A361" s="44"/>
      <c r="B361" s="44"/>
      <c r="C361" s="44"/>
      <c r="D361" s="44"/>
      <c r="E361" s="44"/>
      <c r="F361" s="44"/>
      <c r="G361" s="44"/>
    </row>
    <row r="362" spans="1:7" x14ac:dyDescent="0.2">
      <c r="A362" s="43"/>
      <c r="B362" s="43"/>
      <c r="C362" s="43"/>
      <c r="D362" s="43"/>
      <c r="E362" s="43"/>
      <c r="F362" s="43"/>
      <c r="G362" s="43"/>
    </row>
    <row r="363" spans="1:7" x14ac:dyDescent="0.2">
      <c r="A363" s="44"/>
      <c r="B363" s="44"/>
      <c r="C363" s="44"/>
      <c r="D363" s="44"/>
      <c r="E363" s="44"/>
      <c r="F363" s="44"/>
      <c r="G363" s="44"/>
    </row>
    <row r="364" spans="1:7" x14ac:dyDescent="0.2">
      <c r="A364" s="43"/>
      <c r="B364" s="43"/>
      <c r="C364" s="43"/>
      <c r="D364" s="43"/>
      <c r="E364" s="43"/>
      <c r="F364" s="43"/>
      <c r="G364" s="43"/>
    </row>
    <row r="365" spans="1:7" x14ac:dyDescent="0.2">
      <c r="A365" s="44"/>
      <c r="B365" s="44"/>
      <c r="C365" s="44"/>
      <c r="D365" s="44"/>
      <c r="E365" s="44"/>
      <c r="F365" s="44"/>
      <c r="G365" s="44"/>
    </row>
    <row r="366" spans="1:7" x14ac:dyDescent="0.2">
      <c r="A366" s="43"/>
      <c r="B366" s="43"/>
      <c r="C366" s="43"/>
      <c r="D366" s="43"/>
      <c r="E366" s="43"/>
      <c r="F366" s="43"/>
      <c r="G366" s="43"/>
    </row>
    <row r="367" spans="1:7" x14ac:dyDescent="0.2">
      <c r="A367" s="44"/>
      <c r="B367" s="44"/>
      <c r="C367" s="44"/>
      <c r="D367" s="44"/>
      <c r="E367" s="44"/>
      <c r="F367" s="44"/>
      <c r="G367" s="44"/>
    </row>
    <row r="368" spans="1:7" x14ac:dyDescent="0.2">
      <c r="A368" s="43"/>
      <c r="B368" s="43"/>
      <c r="C368" s="43"/>
      <c r="D368" s="43"/>
      <c r="E368" s="43"/>
      <c r="F368" s="43"/>
      <c r="G368" s="43"/>
    </row>
    <row r="369" spans="1:7" x14ac:dyDescent="0.2">
      <c r="A369" s="44"/>
      <c r="B369" s="44"/>
      <c r="C369" s="44"/>
      <c r="D369" s="44"/>
      <c r="E369" s="44"/>
      <c r="F369" s="44"/>
      <c r="G369" s="44"/>
    </row>
    <row r="370" spans="1:7" x14ac:dyDescent="0.2">
      <c r="A370" s="43"/>
      <c r="B370" s="43"/>
      <c r="C370" s="43"/>
      <c r="D370" s="43"/>
      <c r="E370" s="43"/>
      <c r="F370" s="43"/>
      <c r="G370" s="43"/>
    </row>
    <row r="371" spans="1:7" x14ac:dyDescent="0.2">
      <c r="A371" s="44"/>
      <c r="B371" s="44"/>
      <c r="C371" s="44"/>
      <c r="D371" s="44"/>
      <c r="E371" s="44"/>
      <c r="F371" s="44"/>
      <c r="G371" s="44"/>
    </row>
    <row r="372" spans="1:7" x14ac:dyDescent="0.2">
      <c r="A372" s="43"/>
      <c r="B372" s="43"/>
      <c r="C372" s="43"/>
      <c r="D372" s="43"/>
      <c r="E372" s="43"/>
      <c r="F372" s="43"/>
      <c r="G372" s="43"/>
    </row>
    <row r="373" spans="1:7" x14ac:dyDescent="0.2">
      <c r="A373" s="44"/>
      <c r="B373" s="44"/>
      <c r="C373" s="44"/>
      <c r="D373" s="44"/>
      <c r="E373" s="44"/>
      <c r="F373" s="44"/>
      <c r="G373" s="44"/>
    </row>
    <row r="374" spans="1:7" x14ac:dyDescent="0.2">
      <c r="A374" s="43"/>
      <c r="B374" s="43"/>
      <c r="C374" s="43"/>
      <c r="D374" s="43"/>
      <c r="E374" s="43"/>
      <c r="F374" s="43"/>
      <c r="G374" s="43"/>
    </row>
    <row r="375" spans="1:7" x14ac:dyDescent="0.2">
      <c r="A375" s="44"/>
      <c r="B375" s="44"/>
      <c r="C375" s="44"/>
      <c r="D375" s="44"/>
      <c r="E375" s="44"/>
      <c r="F375" s="44"/>
      <c r="G375" s="44"/>
    </row>
    <row r="376" spans="1:7" x14ac:dyDescent="0.2">
      <c r="A376" s="43"/>
      <c r="B376" s="43"/>
      <c r="C376" s="43"/>
      <c r="D376" s="43"/>
      <c r="E376" s="43"/>
      <c r="F376" s="43"/>
      <c r="G376" s="43"/>
    </row>
    <row r="377" spans="1:7" x14ac:dyDescent="0.2">
      <c r="A377" s="44"/>
      <c r="B377" s="44"/>
      <c r="C377" s="44"/>
      <c r="D377" s="44"/>
      <c r="E377" s="44"/>
      <c r="F377" s="44"/>
      <c r="G377" s="44"/>
    </row>
    <row r="378" spans="1:7" x14ac:dyDescent="0.2">
      <c r="A378" s="43"/>
      <c r="B378" s="43"/>
      <c r="C378" s="43"/>
      <c r="D378" s="43"/>
      <c r="E378" s="43"/>
      <c r="F378" s="43"/>
      <c r="G378" s="43"/>
    </row>
    <row r="379" spans="1:7" x14ac:dyDescent="0.2">
      <c r="A379" s="44"/>
      <c r="B379" s="44"/>
      <c r="C379" s="44"/>
      <c r="D379" s="44"/>
      <c r="E379" s="44"/>
      <c r="F379" s="44"/>
      <c r="G379" s="44"/>
    </row>
    <row r="380" spans="1:7" x14ac:dyDescent="0.2">
      <c r="A380" s="43"/>
      <c r="B380" s="43"/>
      <c r="C380" s="43"/>
      <c r="D380" s="43"/>
      <c r="E380" s="43"/>
      <c r="F380" s="43"/>
      <c r="G380" s="43"/>
    </row>
    <row r="381" spans="1:7" x14ac:dyDescent="0.2">
      <c r="A381" s="44"/>
      <c r="B381" s="44"/>
      <c r="C381" s="44"/>
      <c r="D381" s="44"/>
      <c r="E381" s="44"/>
      <c r="F381" s="44"/>
      <c r="G381" s="44"/>
    </row>
    <row r="382" spans="1:7" x14ac:dyDescent="0.2">
      <c r="A382" s="43"/>
      <c r="B382" s="43"/>
      <c r="C382" s="43"/>
      <c r="D382" s="43"/>
      <c r="E382" s="43"/>
      <c r="F382" s="43"/>
      <c r="G382" s="43"/>
    </row>
    <row r="383" spans="1:7" x14ac:dyDescent="0.2">
      <c r="A383" s="44"/>
      <c r="B383" s="44"/>
      <c r="C383" s="44"/>
      <c r="D383" s="44"/>
      <c r="E383" s="44"/>
      <c r="F383" s="44"/>
      <c r="G383" s="44"/>
    </row>
    <row r="384" spans="1:7" x14ac:dyDescent="0.2">
      <c r="A384" s="43"/>
      <c r="B384" s="43"/>
      <c r="C384" s="43"/>
      <c r="D384" s="43"/>
      <c r="E384" s="43"/>
      <c r="F384" s="43"/>
      <c r="G384" s="43"/>
    </row>
    <row r="385" spans="1:7" x14ac:dyDescent="0.2">
      <c r="A385" s="44"/>
      <c r="B385" s="44"/>
      <c r="C385" s="44"/>
      <c r="D385" s="44"/>
      <c r="E385" s="44"/>
      <c r="F385" s="44"/>
      <c r="G385" s="44"/>
    </row>
    <row r="386" spans="1:7" x14ac:dyDescent="0.2">
      <c r="A386" s="43"/>
      <c r="B386" s="43"/>
      <c r="C386" s="43"/>
      <c r="D386" s="43"/>
      <c r="E386" s="43"/>
      <c r="F386" s="43"/>
      <c r="G386" s="43"/>
    </row>
    <row r="387" spans="1:7" x14ac:dyDescent="0.2">
      <c r="A387" s="44"/>
      <c r="B387" s="44"/>
      <c r="C387" s="44"/>
      <c r="D387" s="44"/>
      <c r="E387" s="44"/>
      <c r="F387" s="44"/>
      <c r="G387" s="44"/>
    </row>
    <row r="388" spans="1:7" x14ac:dyDescent="0.2">
      <c r="A388" s="43"/>
      <c r="B388" s="43"/>
      <c r="C388" s="43"/>
      <c r="D388" s="43"/>
      <c r="E388" s="43"/>
      <c r="F388" s="43"/>
      <c r="G388" s="43"/>
    </row>
    <row r="389" spans="1:7" x14ac:dyDescent="0.2">
      <c r="A389" s="44"/>
      <c r="B389" s="44"/>
      <c r="C389" s="44"/>
      <c r="D389" s="44"/>
      <c r="E389" s="44"/>
      <c r="F389" s="44"/>
      <c r="G389" s="44"/>
    </row>
    <row r="390" spans="1:7" x14ac:dyDescent="0.2">
      <c r="A390" s="43"/>
      <c r="B390" s="43"/>
      <c r="C390" s="43"/>
      <c r="D390" s="43"/>
      <c r="E390" s="43"/>
      <c r="F390" s="43"/>
      <c r="G390" s="43"/>
    </row>
    <row r="391" spans="1:7" x14ac:dyDescent="0.2">
      <c r="A391" s="44"/>
      <c r="B391" s="44"/>
      <c r="C391" s="44"/>
      <c r="D391" s="44"/>
      <c r="E391" s="44"/>
      <c r="F391" s="44"/>
      <c r="G391" s="44"/>
    </row>
    <row r="392" spans="1:7" x14ac:dyDescent="0.2">
      <c r="A392" s="43"/>
      <c r="B392" s="43"/>
      <c r="C392" s="43"/>
      <c r="D392" s="43"/>
      <c r="E392" s="43"/>
      <c r="F392" s="43"/>
      <c r="G392" s="43"/>
    </row>
    <row r="393" spans="1:7" x14ac:dyDescent="0.2">
      <c r="A393" s="44"/>
      <c r="B393" s="44"/>
      <c r="C393" s="44"/>
      <c r="D393" s="44"/>
      <c r="E393" s="44"/>
      <c r="F393" s="44"/>
      <c r="G393" s="44"/>
    </row>
    <row r="394" spans="1:7" x14ac:dyDescent="0.2">
      <c r="A394" s="43"/>
      <c r="B394" s="43"/>
      <c r="C394" s="43"/>
      <c r="D394" s="43"/>
      <c r="E394" s="43"/>
      <c r="F394" s="43"/>
      <c r="G394" s="43"/>
    </row>
    <row r="395" spans="1:7" x14ac:dyDescent="0.2">
      <c r="A395" s="44"/>
      <c r="B395" s="44"/>
      <c r="C395" s="44"/>
      <c r="D395" s="44"/>
      <c r="E395" s="44"/>
      <c r="F395" s="44"/>
      <c r="G395" s="44"/>
    </row>
    <row r="396" spans="1:7" x14ac:dyDescent="0.2">
      <c r="A396" s="43"/>
      <c r="B396" s="43"/>
      <c r="C396" s="43"/>
      <c r="D396" s="43"/>
      <c r="E396" s="43"/>
      <c r="F396" s="43"/>
      <c r="G396" s="43"/>
    </row>
    <row r="397" spans="1:7" x14ac:dyDescent="0.2">
      <c r="A397" s="44"/>
      <c r="B397" s="44"/>
      <c r="C397" s="44"/>
      <c r="D397" s="44"/>
      <c r="E397" s="44"/>
      <c r="F397" s="44"/>
      <c r="G397" s="44"/>
    </row>
    <row r="398" spans="1:7" x14ac:dyDescent="0.2">
      <c r="A398" s="43"/>
      <c r="B398" s="43"/>
      <c r="C398" s="43"/>
      <c r="D398" s="43"/>
      <c r="E398" s="43"/>
      <c r="F398" s="43"/>
      <c r="G398" s="43"/>
    </row>
    <row r="399" spans="1:7" x14ac:dyDescent="0.2">
      <c r="A399" s="44"/>
      <c r="B399" s="44"/>
      <c r="C399" s="44"/>
      <c r="D399" s="44"/>
      <c r="E399" s="44"/>
      <c r="F399" s="44"/>
      <c r="G399" s="44"/>
    </row>
    <row r="400" spans="1:7" x14ac:dyDescent="0.2">
      <c r="A400" s="43"/>
      <c r="B400" s="43"/>
      <c r="C400" s="43"/>
      <c r="D400" s="43"/>
      <c r="E400" s="43"/>
      <c r="F400" s="43"/>
      <c r="G400" s="43"/>
    </row>
    <row r="401" spans="1:7" x14ac:dyDescent="0.2">
      <c r="A401" s="44"/>
      <c r="B401" s="44"/>
      <c r="C401" s="44"/>
      <c r="D401" s="44"/>
      <c r="E401" s="44"/>
      <c r="F401" s="44"/>
      <c r="G401" s="44"/>
    </row>
    <row r="402" spans="1:7" x14ac:dyDescent="0.2">
      <c r="A402" s="43"/>
      <c r="B402" s="43"/>
      <c r="C402" s="43"/>
      <c r="D402" s="43"/>
      <c r="E402" s="43"/>
      <c r="F402" s="43"/>
      <c r="G402" s="43"/>
    </row>
    <row r="403" spans="1:7" x14ac:dyDescent="0.2">
      <c r="A403" s="44"/>
      <c r="B403" s="44"/>
      <c r="C403" s="44"/>
      <c r="D403" s="44"/>
      <c r="E403" s="44"/>
      <c r="F403" s="44"/>
      <c r="G403" s="44"/>
    </row>
    <row r="404" spans="1:7" x14ac:dyDescent="0.2">
      <c r="A404" s="43"/>
      <c r="B404" s="43"/>
      <c r="C404" s="43"/>
      <c r="D404" s="43"/>
      <c r="E404" s="43"/>
      <c r="F404" s="43"/>
      <c r="G404" s="43"/>
    </row>
    <row r="405" spans="1:7" x14ac:dyDescent="0.2">
      <c r="A405" s="44"/>
      <c r="B405" s="44"/>
      <c r="C405" s="44"/>
      <c r="D405" s="44"/>
      <c r="E405" s="44"/>
      <c r="F405" s="44"/>
      <c r="G405" s="44"/>
    </row>
    <row r="406" spans="1:7" x14ac:dyDescent="0.2">
      <c r="A406" s="43"/>
      <c r="B406" s="43"/>
      <c r="C406" s="43"/>
      <c r="D406" s="43"/>
      <c r="E406" s="43"/>
      <c r="F406" s="43"/>
      <c r="G406" s="43"/>
    </row>
    <row r="407" spans="1:7" x14ac:dyDescent="0.2">
      <c r="A407" s="44"/>
      <c r="B407" s="44"/>
      <c r="C407" s="44"/>
      <c r="D407" s="44"/>
      <c r="E407" s="44"/>
      <c r="F407" s="44"/>
      <c r="G407" s="44"/>
    </row>
    <row r="408" spans="1:7" x14ac:dyDescent="0.2">
      <c r="A408" s="43"/>
      <c r="B408" s="43"/>
      <c r="C408" s="43"/>
      <c r="D408" s="43"/>
      <c r="E408" s="43"/>
      <c r="F408" s="43"/>
      <c r="G408" s="43"/>
    </row>
    <row r="409" spans="1:7" x14ac:dyDescent="0.2">
      <c r="A409" s="44"/>
      <c r="B409" s="44"/>
      <c r="C409" s="44"/>
      <c r="D409" s="44"/>
      <c r="E409" s="44"/>
      <c r="F409" s="44"/>
      <c r="G409" s="44"/>
    </row>
    <row r="410" spans="1:7" x14ac:dyDescent="0.2">
      <c r="A410" s="43"/>
      <c r="B410" s="43"/>
      <c r="C410" s="43"/>
      <c r="D410" s="43"/>
      <c r="E410" s="43"/>
      <c r="F410" s="43"/>
      <c r="G410" s="43"/>
    </row>
    <row r="411" spans="1:7" x14ac:dyDescent="0.2">
      <c r="A411" s="44"/>
      <c r="B411" s="44"/>
      <c r="C411" s="44"/>
      <c r="D411" s="44"/>
      <c r="E411" s="44"/>
      <c r="F411" s="44"/>
      <c r="G411" s="44"/>
    </row>
    <row r="412" spans="1:7" x14ac:dyDescent="0.2">
      <c r="A412" s="43"/>
      <c r="B412" s="43"/>
      <c r="C412" s="43"/>
      <c r="D412" s="43"/>
      <c r="E412" s="43"/>
      <c r="F412" s="43"/>
      <c r="G412" s="43"/>
    </row>
    <row r="413" spans="1:7" x14ac:dyDescent="0.2">
      <c r="A413" s="44"/>
      <c r="B413" s="44"/>
      <c r="C413" s="44"/>
      <c r="D413" s="44"/>
      <c r="E413" s="44"/>
      <c r="F413" s="44"/>
      <c r="G413" s="44"/>
    </row>
    <row r="414" spans="1:7" x14ac:dyDescent="0.2">
      <c r="A414" s="43"/>
      <c r="B414" s="43"/>
      <c r="C414" s="43"/>
      <c r="D414" s="43"/>
      <c r="E414" s="43"/>
      <c r="F414" s="43"/>
      <c r="G414" s="43"/>
    </row>
    <row r="415" spans="1:7" x14ac:dyDescent="0.2">
      <c r="A415" s="44"/>
      <c r="B415" s="44"/>
      <c r="C415" s="44"/>
      <c r="D415" s="44"/>
      <c r="E415" s="44"/>
      <c r="F415" s="44"/>
      <c r="G415" s="44"/>
    </row>
    <row r="416" spans="1:7" x14ac:dyDescent="0.2">
      <c r="A416" s="43"/>
      <c r="B416" s="43"/>
      <c r="C416" s="43"/>
      <c r="D416" s="43"/>
      <c r="E416" s="43"/>
      <c r="F416" s="43"/>
      <c r="G416" s="43"/>
    </row>
    <row r="417" spans="1:7" x14ac:dyDescent="0.2">
      <c r="A417" s="44"/>
      <c r="B417" s="44"/>
      <c r="C417" s="44"/>
      <c r="D417" s="44"/>
      <c r="E417" s="44"/>
      <c r="F417" s="44"/>
      <c r="G417" s="44"/>
    </row>
    <row r="418" spans="1:7" x14ac:dyDescent="0.2">
      <c r="A418" s="43"/>
      <c r="B418" s="43"/>
      <c r="C418" s="43"/>
      <c r="D418" s="43"/>
      <c r="E418" s="43"/>
      <c r="F418" s="43"/>
      <c r="G418" s="43"/>
    </row>
    <row r="419" spans="1:7" x14ac:dyDescent="0.2">
      <c r="A419" s="44"/>
      <c r="B419" s="44"/>
      <c r="C419" s="44"/>
      <c r="D419" s="44"/>
      <c r="E419" s="44"/>
      <c r="F419" s="44"/>
      <c r="G419" s="44"/>
    </row>
    <row r="420" spans="1:7" x14ac:dyDescent="0.2">
      <c r="A420" s="43"/>
      <c r="B420" s="43"/>
      <c r="C420" s="43"/>
      <c r="D420" s="43"/>
      <c r="E420" s="43"/>
      <c r="F420" s="43"/>
      <c r="G420" s="43"/>
    </row>
    <row r="421" spans="1:7" x14ac:dyDescent="0.2">
      <c r="A421" s="44"/>
      <c r="B421" s="44"/>
      <c r="C421" s="44"/>
      <c r="D421" s="44"/>
      <c r="E421" s="44"/>
      <c r="F421" s="44"/>
      <c r="G421" s="44"/>
    </row>
    <row r="422" spans="1:7" x14ac:dyDescent="0.2">
      <c r="A422" s="43"/>
      <c r="B422" s="43"/>
      <c r="C422" s="43"/>
      <c r="D422" s="43"/>
      <c r="E422" s="43"/>
      <c r="F422" s="43"/>
      <c r="G422" s="43"/>
    </row>
    <row r="423" spans="1:7" x14ac:dyDescent="0.2">
      <c r="A423" s="44"/>
      <c r="B423" s="44"/>
      <c r="C423" s="44"/>
      <c r="D423" s="44"/>
      <c r="E423" s="44"/>
      <c r="F423" s="44"/>
      <c r="G423" s="44"/>
    </row>
    <row r="424" spans="1:7" x14ac:dyDescent="0.2">
      <c r="A424" s="43"/>
      <c r="B424" s="43"/>
      <c r="C424" s="43"/>
      <c r="D424" s="43"/>
      <c r="E424" s="43"/>
      <c r="F424" s="43"/>
      <c r="G424" s="43"/>
    </row>
    <row r="425" spans="1:7" x14ac:dyDescent="0.2">
      <c r="A425" s="44"/>
      <c r="B425" s="44"/>
      <c r="C425" s="44"/>
      <c r="D425" s="44"/>
      <c r="E425" s="44"/>
      <c r="F425" s="44"/>
      <c r="G425" s="44"/>
    </row>
    <row r="426" spans="1:7" x14ac:dyDescent="0.2">
      <c r="A426" s="43"/>
      <c r="B426" s="43"/>
      <c r="C426" s="43"/>
      <c r="D426" s="43"/>
      <c r="E426" s="43"/>
      <c r="F426" s="43"/>
      <c r="G426" s="43"/>
    </row>
    <row r="427" spans="1:7" x14ac:dyDescent="0.2">
      <c r="A427" s="44"/>
      <c r="B427" s="44"/>
      <c r="C427" s="44"/>
      <c r="D427" s="44"/>
      <c r="E427" s="44"/>
      <c r="F427" s="44"/>
      <c r="G427" s="44"/>
    </row>
    <row r="428" spans="1:7" x14ac:dyDescent="0.2">
      <c r="A428" s="43"/>
      <c r="B428" s="43"/>
      <c r="C428" s="43"/>
      <c r="D428" s="43"/>
      <c r="E428" s="43"/>
      <c r="F428" s="43"/>
      <c r="G428" s="43"/>
    </row>
    <row r="429" spans="1:7" x14ac:dyDescent="0.2">
      <c r="A429" s="44"/>
      <c r="B429" s="44"/>
      <c r="C429" s="44"/>
      <c r="D429" s="44"/>
      <c r="E429" s="44"/>
      <c r="F429" s="44"/>
      <c r="G429" s="44"/>
    </row>
    <row r="430" spans="1:7" x14ac:dyDescent="0.2">
      <c r="A430" s="43"/>
      <c r="B430" s="43"/>
      <c r="C430" s="43"/>
      <c r="D430" s="43"/>
      <c r="E430" s="43"/>
      <c r="F430" s="43"/>
      <c r="G430" s="43"/>
    </row>
    <row r="431" spans="1:7" x14ac:dyDescent="0.2">
      <c r="A431" s="44"/>
      <c r="B431" s="44"/>
      <c r="C431" s="44"/>
      <c r="D431" s="44"/>
      <c r="E431" s="44"/>
      <c r="F431" s="44"/>
      <c r="G431" s="44"/>
    </row>
    <row r="432" spans="1:7" x14ac:dyDescent="0.2">
      <c r="A432" s="43"/>
      <c r="B432" s="43"/>
      <c r="C432" s="43"/>
      <c r="D432" s="43"/>
      <c r="E432" s="43"/>
      <c r="F432" s="43"/>
      <c r="G432" s="43"/>
    </row>
    <row r="433" spans="1:7" x14ac:dyDescent="0.2">
      <c r="A433" s="44"/>
      <c r="B433" s="44"/>
      <c r="C433" s="44"/>
      <c r="D433" s="44"/>
      <c r="E433" s="44"/>
      <c r="F433" s="44"/>
      <c r="G433" s="44"/>
    </row>
    <row r="434" spans="1:7" x14ac:dyDescent="0.2">
      <c r="A434" s="43"/>
      <c r="B434" s="43"/>
      <c r="C434" s="43"/>
      <c r="D434" s="43"/>
      <c r="E434" s="43"/>
      <c r="F434" s="43"/>
      <c r="G434" s="43"/>
    </row>
    <row r="435" spans="1:7" x14ac:dyDescent="0.2">
      <c r="A435" s="44"/>
      <c r="B435" s="44"/>
      <c r="C435" s="44"/>
      <c r="D435" s="44"/>
      <c r="E435" s="44"/>
      <c r="F435" s="44"/>
      <c r="G435" s="44"/>
    </row>
    <row r="436" spans="1:7" x14ac:dyDescent="0.2">
      <c r="A436" s="43"/>
      <c r="B436" s="43"/>
      <c r="C436" s="43"/>
      <c r="D436" s="43"/>
      <c r="E436" s="43"/>
      <c r="F436" s="43"/>
      <c r="G436" s="43"/>
    </row>
    <row r="437" spans="1:7" x14ac:dyDescent="0.2">
      <c r="A437" s="44"/>
      <c r="B437" s="44"/>
      <c r="C437" s="44"/>
      <c r="D437" s="44"/>
      <c r="E437" s="44"/>
      <c r="F437" s="44"/>
      <c r="G437" s="44"/>
    </row>
    <row r="438" spans="1:7" x14ac:dyDescent="0.2">
      <c r="A438" s="43"/>
      <c r="B438" s="43"/>
      <c r="C438" s="43"/>
      <c r="D438" s="43"/>
      <c r="E438" s="43"/>
      <c r="F438" s="43"/>
      <c r="G438" s="43"/>
    </row>
    <row r="439" spans="1:7" x14ac:dyDescent="0.2">
      <c r="A439" s="44"/>
      <c r="B439" s="44"/>
      <c r="C439" s="44"/>
      <c r="D439" s="44"/>
      <c r="E439" s="44"/>
      <c r="F439" s="44"/>
      <c r="G439" s="44"/>
    </row>
    <row r="440" spans="1:7" x14ac:dyDescent="0.2">
      <c r="A440" s="43"/>
      <c r="B440" s="43"/>
      <c r="C440" s="43"/>
      <c r="D440" s="43"/>
      <c r="E440" s="43"/>
      <c r="F440" s="43"/>
      <c r="G440" s="43"/>
    </row>
    <row r="441" spans="1:7" x14ac:dyDescent="0.2">
      <c r="A441" s="44"/>
      <c r="B441" s="44"/>
      <c r="C441" s="44"/>
      <c r="D441" s="44"/>
      <c r="E441" s="44"/>
      <c r="F441" s="44"/>
      <c r="G441" s="44"/>
    </row>
    <row r="442" spans="1:7" x14ac:dyDescent="0.2">
      <c r="A442" s="43"/>
      <c r="B442" s="43"/>
      <c r="C442" s="43"/>
      <c r="D442" s="43"/>
      <c r="E442" s="43"/>
      <c r="F442" s="43"/>
      <c r="G442" s="43"/>
    </row>
    <row r="443" spans="1:7" x14ac:dyDescent="0.2">
      <c r="A443" s="44"/>
      <c r="B443" s="44"/>
      <c r="C443" s="44"/>
      <c r="D443" s="44"/>
      <c r="E443" s="44"/>
      <c r="F443" s="44"/>
      <c r="G443" s="44"/>
    </row>
    <row r="444" spans="1:7" x14ac:dyDescent="0.2">
      <c r="A444" s="43"/>
      <c r="B444" s="43"/>
      <c r="C444" s="43"/>
      <c r="D444" s="43"/>
      <c r="E444" s="43"/>
      <c r="F444" s="43"/>
      <c r="G444" s="43"/>
    </row>
    <row r="445" spans="1:7" x14ac:dyDescent="0.2">
      <c r="A445" s="44"/>
      <c r="B445" s="44"/>
      <c r="C445" s="44"/>
      <c r="D445" s="44"/>
      <c r="E445" s="44"/>
      <c r="F445" s="44"/>
      <c r="G445" s="44"/>
    </row>
    <row r="446" spans="1:7" x14ac:dyDescent="0.2">
      <c r="A446" s="43"/>
      <c r="B446" s="43"/>
      <c r="C446" s="43"/>
      <c r="D446" s="43"/>
      <c r="E446" s="43"/>
      <c r="F446" s="43"/>
      <c r="G446" s="43"/>
    </row>
    <row r="447" spans="1:7" x14ac:dyDescent="0.2">
      <c r="A447" s="44"/>
      <c r="B447" s="44"/>
      <c r="C447" s="44"/>
      <c r="D447" s="44"/>
      <c r="E447" s="44"/>
      <c r="F447" s="44"/>
      <c r="G447" s="44"/>
    </row>
    <row r="448" spans="1:7" x14ac:dyDescent="0.2">
      <c r="A448" s="43"/>
      <c r="B448" s="43"/>
      <c r="C448" s="43"/>
      <c r="D448" s="43"/>
      <c r="E448" s="43"/>
      <c r="F448" s="43"/>
      <c r="G448" s="43"/>
    </row>
    <row r="449" spans="1:7" x14ac:dyDescent="0.2">
      <c r="A449" s="44"/>
      <c r="B449" s="44"/>
      <c r="C449" s="44"/>
      <c r="D449" s="44"/>
      <c r="E449" s="44"/>
      <c r="F449" s="44"/>
      <c r="G449" s="44"/>
    </row>
    <row r="450" spans="1:7" x14ac:dyDescent="0.2">
      <c r="A450" s="43"/>
      <c r="B450" s="43"/>
      <c r="C450" s="43"/>
      <c r="D450" s="43"/>
      <c r="E450" s="43"/>
      <c r="F450" s="43"/>
      <c r="G450" s="43"/>
    </row>
    <row r="451" spans="1:7" x14ac:dyDescent="0.2">
      <c r="A451" s="44"/>
      <c r="B451" s="44"/>
      <c r="C451" s="44"/>
      <c r="D451" s="44"/>
      <c r="E451" s="44"/>
      <c r="F451" s="44"/>
      <c r="G451" s="44"/>
    </row>
    <row r="452" spans="1:7" x14ac:dyDescent="0.2">
      <c r="A452" s="43"/>
      <c r="B452" s="43"/>
      <c r="C452" s="43"/>
      <c r="D452" s="43"/>
      <c r="E452" s="43"/>
      <c r="F452" s="43"/>
      <c r="G452" s="43"/>
    </row>
    <row r="453" spans="1:7" x14ac:dyDescent="0.2">
      <c r="A453" s="44"/>
      <c r="B453" s="44"/>
      <c r="C453" s="44"/>
      <c r="D453" s="44"/>
      <c r="E453" s="44"/>
      <c r="F453" s="44"/>
      <c r="G453" s="44"/>
    </row>
    <row r="454" spans="1:7" x14ac:dyDescent="0.2">
      <c r="A454" s="43"/>
      <c r="B454" s="43"/>
      <c r="C454" s="43"/>
      <c r="D454" s="43"/>
      <c r="E454" s="43"/>
      <c r="F454" s="43"/>
      <c r="G454" s="43"/>
    </row>
    <row r="455" spans="1:7" x14ac:dyDescent="0.2">
      <c r="A455" s="44"/>
      <c r="B455" s="44"/>
      <c r="C455" s="44"/>
      <c r="D455" s="44"/>
      <c r="E455" s="44"/>
      <c r="F455" s="44"/>
      <c r="G455" s="44"/>
    </row>
    <row r="456" spans="1:7" x14ac:dyDescent="0.2">
      <c r="A456" s="43"/>
      <c r="B456" s="43"/>
      <c r="C456" s="43"/>
      <c r="D456" s="43"/>
      <c r="E456" s="43"/>
      <c r="F456" s="43"/>
      <c r="G456" s="43"/>
    </row>
    <row r="457" spans="1:7" x14ac:dyDescent="0.2">
      <c r="A457" s="44"/>
      <c r="B457" s="44"/>
      <c r="C457" s="44"/>
      <c r="D457" s="44"/>
      <c r="E457" s="44"/>
      <c r="F457" s="44"/>
      <c r="G457" s="44"/>
    </row>
    <row r="458" spans="1:7" x14ac:dyDescent="0.2">
      <c r="A458" s="43"/>
      <c r="B458" s="43"/>
      <c r="C458" s="43"/>
      <c r="D458" s="43"/>
      <c r="E458" s="43"/>
      <c r="F458" s="43"/>
      <c r="G458" s="43"/>
    </row>
    <row r="459" spans="1:7" x14ac:dyDescent="0.2">
      <c r="A459" s="44"/>
      <c r="B459" s="44"/>
      <c r="C459" s="44"/>
      <c r="D459" s="44"/>
      <c r="E459" s="44"/>
      <c r="F459" s="44"/>
      <c r="G459" s="44"/>
    </row>
    <row r="460" spans="1:7" x14ac:dyDescent="0.2">
      <c r="A460" s="43"/>
      <c r="B460" s="43"/>
      <c r="C460" s="43"/>
      <c r="D460" s="43"/>
      <c r="E460" s="43"/>
      <c r="F460" s="43"/>
      <c r="G460" s="43"/>
    </row>
    <row r="461" spans="1:7" x14ac:dyDescent="0.2">
      <c r="A461" s="44"/>
      <c r="B461" s="44"/>
      <c r="C461" s="44"/>
      <c r="D461" s="44"/>
      <c r="E461" s="44"/>
      <c r="F461" s="44"/>
      <c r="G461" s="44"/>
    </row>
    <row r="462" spans="1:7" x14ac:dyDescent="0.2">
      <c r="A462" s="43"/>
      <c r="B462" s="43"/>
      <c r="C462" s="43"/>
      <c r="D462" s="43"/>
      <c r="E462" s="43"/>
      <c r="F462" s="43"/>
      <c r="G462" s="43"/>
    </row>
    <row r="463" spans="1:7" x14ac:dyDescent="0.2">
      <c r="A463" s="44"/>
      <c r="B463" s="44"/>
      <c r="C463" s="44"/>
      <c r="D463" s="44"/>
      <c r="E463" s="44"/>
      <c r="F463" s="44"/>
      <c r="G463" s="44"/>
    </row>
    <row r="464" spans="1:7" x14ac:dyDescent="0.2">
      <c r="A464" s="43"/>
      <c r="B464" s="43"/>
      <c r="C464" s="43"/>
      <c r="D464" s="43"/>
      <c r="E464" s="43"/>
      <c r="F464" s="43"/>
      <c r="G464" s="43"/>
    </row>
    <row r="465" spans="1:7" x14ac:dyDescent="0.2">
      <c r="A465" s="44"/>
      <c r="B465" s="44"/>
      <c r="C465" s="44"/>
      <c r="D465" s="44"/>
      <c r="E465" s="44"/>
      <c r="F465" s="44"/>
      <c r="G465" s="44"/>
    </row>
    <row r="466" spans="1:7" x14ac:dyDescent="0.2">
      <c r="A466" s="43"/>
      <c r="B466" s="43"/>
      <c r="C466" s="43"/>
      <c r="D466" s="43"/>
      <c r="E466" s="43"/>
      <c r="F466" s="43"/>
      <c r="G466" s="43"/>
    </row>
    <row r="467" spans="1:7" x14ac:dyDescent="0.2">
      <c r="A467" s="44"/>
      <c r="B467" s="44"/>
      <c r="C467" s="44"/>
      <c r="D467" s="44"/>
      <c r="E467" s="44"/>
      <c r="F467" s="44"/>
      <c r="G467" s="44"/>
    </row>
    <row r="468" spans="1:7" x14ac:dyDescent="0.2">
      <c r="A468" s="43"/>
      <c r="B468" s="43"/>
      <c r="C468" s="43"/>
      <c r="D468" s="43"/>
      <c r="E468" s="43"/>
      <c r="F468" s="43"/>
      <c r="G468" s="43"/>
    </row>
    <row r="469" spans="1:7" x14ac:dyDescent="0.2">
      <c r="A469" s="44"/>
      <c r="B469" s="44"/>
      <c r="C469" s="44"/>
      <c r="D469" s="44"/>
      <c r="E469" s="44"/>
      <c r="F469" s="44"/>
      <c r="G469" s="44"/>
    </row>
    <row r="470" spans="1:7" x14ac:dyDescent="0.2">
      <c r="A470" s="43"/>
      <c r="B470" s="43"/>
      <c r="C470" s="43"/>
      <c r="D470" s="43"/>
      <c r="E470" s="43"/>
      <c r="F470" s="43"/>
      <c r="G470" s="43"/>
    </row>
    <row r="471" spans="1:7" x14ac:dyDescent="0.2">
      <c r="A471" s="44"/>
      <c r="B471" s="44"/>
      <c r="C471" s="44"/>
      <c r="D471" s="44"/>
      <c r="E471" s="44"/>
      <c r="F471" s="44"/>
      <c r="G471" s="44"/>
    </row>
    <row r="472" spans="1:7" x14ac:dyDescent="0.2">
      <c r="A472" s="43"/>
      <c r="B472" s="43"/>
      <c r="C472" s="43"/>
      <c r="D472" s="43"/>
      <c r="E472" s="43"/>
      <c r="F472" s="43"/>
      <c r="G472" s="43"/>
    </row>
    <row r="473" spans="1:7" x14ac:dyDescent="0.2">
      <c r="A473" s="44"/>
      <c r="B473" s="44"/>
      <c r="C473" s="44"/>
      <c r="D473" s="44"/>
      <c r="E473" s="44"/>
      <c r="F473" s="44"/>
      <c r="G473" s="44"/>
    </row>
    <row r="474" spans="1:7" x14ac:dyDescent="0.2">
      <c r="A474" s="43"/>
      <c r="B474" s="43"/>
      <c r="C474" s="43"/>
      <c r="D474" s="43"/>
      <c r="E474" s="43"/>
      <c r="F474" s="43"/>
      <c r="G474" s="43"/>
    </row>
    <row r="475" spans="1:7" x14ac:dyDescent="0.2">
      <c r="A475" s="44"/>
      <c r="B475" s="44"/>
      <c r="C475" s="44"/>
      <c r="D475" s="44"/>
      <c r="E475" s="44"/>
      <c r="F475" s="44"/>
      <c r="G475" s="44"/>
    </row>
    <row r="476" spans="1:7" x14ac:dyDescent="0.2">
      <c r="A476" s="43"/>
      <c r="B476" s="43"/>
      <c r="C476" s="43"/>
      <c r="D476" s="43"/>
      <c r="E476" s="43"/>
      <c r="F476" s="43"/>
      <c r="G476" s="43"/>
    </row>
    <row r="477" spans="1:7" x14ac:dyDescent="0.2">
      <c r="A477" s="44"/>
      <c r="B477" s="44"/>
      <c r="C477" s="44"/>
      <c r="D477" s="44"/>
      <c r="E477" s="44"/>
      <c r="F477" s="44"/>
      <c r="G477" s="44"/>
    </row>
    <row r="478" spans="1:7" x14ac:dyDescent="0.2">
      <c r="A478" s="43"/>
      <c r="B478" s="43"/>
      <c r="C478" s="43"/>
      <c r="D478" s="43"/>
      <c r="E478" s="43"/>
      <c r="F478" s="43"/>
      <c r="G478" s="43"/>
    </row>
    <row r="479" spans="1:7" x14ac:dyDescent="0.2">
      <c r="A479" s="44"/>
      <c r="B479" s="44"/>
      <c r="C479" s="44"/>
      <c r="D479" s="44"/>
      <c r="E479" s="44"/>
      <c r="F479" s="44"/>
      <c r="G479" s="44"/>
    </row>
    <row r="480" spans="1:7" x14ac:dyDescent="0.2">
      <c r="A480" s="43"/>
      <c r="B480" s="43"/>
      <c r="C480" s="43"/>
      <c r="D480" s="43"/>
      <c r="E480" s="43"/>
      <c r="F480" s="43"/>
      <c r="G480" s="43"/>
    </row>
    <row r="481" spans="1:7" x14ac:dyDescent="0.2">
      <c r="A481" s="44"/>
      <c r="B481" s="44"/>
      <c r="C481" s="44"/>
      <c r="D481" s="44"/>
      <c r="E481" s="44"/>
      <c r="F481" s="44"/>
      <c r="G481" s="44"/>
    </row>
    <row r="482" spans="1:7" x14ac:dyDescent="0.2">
      <c r="A482" s="43"/>
      <c r="B482" s="43"/>
      <c r="C482" s="43"/>
      <c r="D482" s="43"/>
      <c r="E482" s="43"/>
      <c r="F482" s="43"/>
      <c r="G482" s="43"/>
    </row>
    <row r="483" spans="1:7" x14ac:dyDescent="0.2">
      <c r="A483" s="44"/>
      <c r="B483" s="44"/>
      <c r="C483" s="44"/>
      <c r="D483" s="44"/>
      <c r="E483" s="44"/>
      <c r="F483" s="44"/>
      <c r="G483" s="44"/>
    </row>
    <row r="484" spans="1:7" x14ac:dyDescent="0.2">
      <c r="A484" s="43"/>
      <c r="B484" s="43"/>
      <c r="C484" s="43"/>
      <c r="D484" s="43"/>
      <c r="E484" s="43"/>
      <c r="F484" s="43"/>
      <c r="G484" s="43"/>
    </row>
    <row r="485" spans="1:7" x14ac:dyDescent="0.2">
      <c r="A485" s="44"/>
      <c r="B485" s="44"/>
      <c r="C485" s="44"/>
      <c r="D485" s="44"/>
      <c r="E485" s="44"/>
      <c r="F485" s="44"/>
      <c r="G485" s="44"/>
    </row>
    <row r="486" spans="1:7" x14ac:dyDescent="0.2">
      <c r="A486" s="43"/>
      <c r="B486" s="43"/>
      <c r="C486" s="43"/>
      <c r="D486" s="43"/>
      <c r="E486" s="43"/>
      <c r="F486" s="43"/>
      <c r="G486" s="43"/>
    </row>
    <row r="487" spans="1:7" x14ac:dyDescent="0.2">
      <c r="A487" s="44"/>
      <c r="B487" s="44"/>
      <c r="C487" s="44"/>
      <c r="D487" s="44"/>
      <c r="E487" s="44"/>
      <c r="F487" s="44"/>
      <c r="G487" s="44"/>
    </row>
    <row r="488" spans="1:7" x14ac:dyDescent="0.2">
      <c r="A488" s="43"/>
      <c r="B488" s="43"/>
      <c r="C488" s="43"/>
      <c r="D488" s="43"/>
      <c r="E488" s="43"/>
      <c r="F488" s="43"/>
      <c r="G488" s="43"/>
    </row>
    <row r="489" spans="1:7" x14ac:dyDescent="0.2">
      <c r="A489" s="44"/>
      <c r="B489" s="44"/>
      <c r="C489" s="44"/>
      <c r="D489" s="44"/>
      <c r="E489" s="44"/>
      <c r="F489" s="44"/>
      <c r="G489" s="44"/>
    </row>
    <row r="490" spans="1:7" x14ac:dyDescent="0.2">
      <c r="A490" s="43"/>
      <c r="B490" s="43"/>
      <c r="C490" s="43"/>
      <c r="D490" s="43"/>
      <c r="E490" s="43"/>
      <c r="F490" s="43"/>
      <c r="G490" s="43"/>
    </row>
    <row r="491" spans="1:7" x14ac:dyDescent="0.2">
      <c r="A491" s="44"/>
      <c r="B491" s="44"/>
      <c r="C491" s="44"/>
      <c r="D491" s="44"/>
      <c r="E491" s="44"/>
      <c r="F491" s="44"/>
      <c r="G491" s="44"/>
    </row>
    <row r="492" spans="1:7" x14ac:dyDescent="0.2">
      <c r="A492" s="43"/>
      <c r="B492" s="43"/>
      <c r="C492" s="43"/>
      <c r="D492" s="43"/>
      <c r="E492" s="43"/>
      <c r="F492" s="43"/>
      <c r="G492" s="43"/>
    </row>
    <row r="493" spans="1:7" x14ac:dyDescent="0.2">
      <c r="A493" s="44"/>
      <c r="B493" s="44"/>
      <c r="C493" s="44"/>
      <c r="D493" s="44"/>
      <c r="E493" s="44"/>
      <c r="F493" s="44"/>
      <c r="G493" s="44"/>
    </row>
    <row r="494" spans="1:7" x14ac:dyDescent="0.2">
      <c r="A494" s="43"/>
      <c r="B494" s="43"/>
      <c r="C494" s="43"/>
      <c r="D494" s="43"/>
      <c r="E494" s="43"/>
      <c r="F494" s="43"/>
      <c r="G494" s="43"/>
    </row>
    <row r="495" spans="1:7" x14ac:dyDescent="0.2">
      <c r="A495" s="44"/>
      <c r="B495" s="44"/>
      <c r="C495" s="44"/>
      <c r="D495" s="44"/>
      <c r="E495" s="44"/>
      <c r="F495" s="44"/>
      <c r="G495" s="44"/>
    </row>
    <row r="496" spans="1:7" x14ac:dyDescent="0.2">
      <c r="A496" s="43"/>
      <c r="B496" s="43"/>
      <c r="C496" s="43"/>
      <c r="D496" s="43"/>
      <c r="E496" s="43"/>
      <c r="F496" s="43"/>
      <c r="G496" s="43"/>
    </row>
    <row r="497" spans="1:7" x14ac:dyDescent="0.2">
      <c r="A497" s="44"/>
      <c r="B497" s="44"/>
      <c r="C497" s="44"/>
      <c r="D497" s="44"/>
      <c r="E497" s="44"/>
      <c r="F497" s="44"/>
      <c r="G497" s="44"/>
    </row>
    <row r="498" spans="1:7" x14ac:dyDescent="0.2">
      <c r="A498" s="43"/>
      <c r="B498" s="43"/>
      <c r="C498" s="43"/>
      <c r="D498" s="43"/>
      <c r="E498" s="43"/>
      <c r="F498" s="43"/>
      <c r="G498" s="43"/>
    </row>
    <row r="499" spans="1:7" x14ac:dyDescent="0.2">
      <c r="A499" s="44"/>
      <c r="B499" s="44"/>
      <c r="C499" s="44"/>
      <c r="D499" s="44"/>
      <c r="E499" s="44"/>
      <c r="F499" s="44"/>
      <c r="G499" s="44"/>
    </row>
    <row r="500" spans="1:7" x14ac:dyDescent="0.2">
      <c r="A500" s="43"/>
      <c r="B500" s="43"/>
      <c r="C500" s="43"/>
      <c r="D500" s="43"/>
      <c r="E500" s="43"/>
      <c r="F500" s="43"/>
      <c r="G500" s="43"/>
    </row>
    <row r="501" spans="1:7" x14ac:dyDescent="0.2">
      <c r="A501" s="44"/>
      <c r="B501" s="44"/>
      <c r="C501" s="44"/>
      <c r="D501" s="44"/>
      <c r="E501" s="44"/>
      <c r="F501" s="44"/>
      <c r="G501" s="44"/>
    </row>
    <row r="502" spans="1:7" x14ac:dyDescent="0.2">
      <c r="A502" s="43"/>
      <c r="B502" s="43"/>
      <c r="C502" s="43"/>
      <c r="D502" s="43"/>
      <c r="E502" s="43"/>
      <c r="F502" s="43"/>
      <c r="G502" s="43"/>
    </row>
    <row r="503" spans="1:7" x14ac:dyDescent="0.2">
      <c r="A503" s="44"/>
      <c r="B503" s="44"/>
      <c r="C503" s="44"/>
      <c r="D503" s="44"/>
      <c r="E503" s="44"/>
      <c r="F503" s="44"/>
      <c r="G503" s="44"/>
    </row>
    <row r="504" spans="1:7" x14ac:dyDescent="0.2">
      <c r="A504" s="43"/>
      <c r="B504" s="43"/>
      <c r="C504" s="43"/>
      <c r="D504" s="43"/>
      <c r="E504" s="43"/>
      <c r="F504" s="43"/>
      <c r="G504" s="43"/>
    </row>
    <row r="505" spans="1:7" x14ac:dyDescent="0.2">
      <c r="A505" s="44"/>
      <c r="B505" s="44"/>
      <c r="C505" s="44"/>
      <c r="D505" s="44"/>
      <c r="E505" s="44"/>
      <c r="F505" s="44"/>
      <c r="G505" s="44"/>
    </row>
    <row r="506" spans="1:7" x14ac:dyDescent="0.2">
      <c r="A506" s="43"/>
      <c r="B506" s="43"/>
      <c r="C506" s="43"/>
      <c r="D506" s="43"/>
      <c r="E506" s="43"/>
      <c r="F506" s="43"/>
      <c r="G506" s="43"/>
    </row>
    <row r="507" spans="1:7" x14ac:dyDescent="0.2">
      <c r="A507" s="44"/>
      <c r="B507" s="44"/>
      <c r="C507" s="44"/>
      <c r="D507" s="44"/>
      <c r="E507" s="44"/>
      <c r="F507" s="44"/>
      <c r="G507" s="44"/>
    </row>
    <row r="508" spans="1:7" x14ac:dyDescent="0.2">
      <c r="A508" s="43"/>
      <c r="B508" s="43"/>
      <c r="C508" s="43"/>
      <c r="D508" s="43"/>
      <c r="E508" s="43"/>
      <c r="F508" s="43"/>
      <c r="G508" s="43"/>
    </row>
    <row r="509" spans="1:7" x14ac:dyDescent="0.2">
      <c r="A509" s="44"/>
      <c r="B509" s="44"/>
      <c r="C509" s="44"/>
      <c r="D509" s="44"/>
      <c r="E509" s="44"/>
      <c r="F509" s="44"/>
      <c r="G509" s="44"/>
    </row>
    <row r="510" spans="1:7" x14ac:dyDescent="0.2">
      <c r="A510" s="43"/>
      <c r="B510" s="43"/>
      <c r="C510" s="43"/>
      <c r="D510" s="43"/>
      <c r="E510" s="43"/>
      <c r="F510" s="43"/>
      <c r="G510" s="43"/>
    </row>
    <row r="511" spans="1:7" x14ac:dyDescent="0.2">
      <c r="A511" s="44"/>
      <c r="B511" s="44"/>
      <c r="C511" s="44"/>
      <c r="D511" s="44"/>
      <c r="E511" s="44"/>
      <c r="F511" s="44"/>
      <c r="G511" s="44"/>
    </row>
    <row r="512" spans="1:7" x14ac:dyDescent="0.2">
      <c r="A512" s="43"/>
      <c r="B512" s="43"/>
      <c r="C512" s="43"/>
      <c r="D512" s="43"/>
      <c r="E512" s="43"/>
      <c r="F512" s="43"/>
      <c r="G512" s="43"/>
    </row>
    <row r="513" spans="1:7" x14ac:dyDescent="0.2">
      <c r="A513" s="44"/>
      <c r="B513" s="44"/>
      <c r="C513" s="44"/>
      <c r="D513" s="44"/>
      <c r="E513" s="44"/>
      <c r="F513" s="44"/>
      <c r="G513" s="44"/>
    </row>
    <row r="514" spans="1:7" x14ac:dyDescent="0.2">
      <c r="A514" s="43"/>
      <c r="B514" s="43"/>
      <c r="C514" s="43"/>
      <c r="D514" s="43"/>
      <c r="E514" s="43"/>
      <c r="F514" s="43"/>
      <c r="G514" s="43"/>
    </row>
    <row r="515" spans="1:7" x14ac:dyDescent="0.2">
      <c r="A515" s="44"/>
      <c r="B515" s="44"/>
      <c r="C515" s="44"/>
      <c r="D515" s="44"/>
      <c r="E515" s="44"/>
      <c r="F515" s="44"/>
      <c r="G515" s="44"/>
    </row>
    <row r="516" spans="1:7" x14ac:dyDescent="0.2">
      <c r="A516" s="43"/>
      <c r="B516" s="43"/>
      <c r="C516" s="43"/>
      <c r="D516" s="43"/>
      <c r="E516" s="43"/>
      <c r="F516" s="43"/>
      <c r="G516" s="43"/>
    </row>
    <row r="517" spans="1:7" x14ac:dyDescent="0.2">
      <c r="A517" s="44"/>
      <c r="B517" s="44"/>
      <c r="C517" s="44"/>
      <c r="D517" s="44"/>
      <c r="E517" s="44"/>
      <c r="F517" s="44"/>
      <c r="G517" s="44"/>
    </row>
    <row r="518" spans="1:7" x14ac:dyDescent="0.2">
      <c r="A518" s="43"/>
      <c r="B518" s="43"/>
      <c r="C518" s="43"/>
      <c r="D518" s="43"/>
      <c r="E518" s="43"/>
      <c r="F518" s="43"/>
      <c r="G518" s="43"/>
    </row>
    <row r="519" spans="1:7" x14ac:dyDescent="0.2">
      <c r="A519" s="44"/>
      <c r="B519" s="44"/>
      <c r="C519" s="44"/>
      <c r="D519" s="44"/>
      <c r="E519" s="44"/>
      <c r="F519" s="44"/>
      <c r="G519" s="44"/>
    </row>
    <row r="520" spans="1:7" x14ac:dyDescent="0.2">
      <c r="A520" s="43"/>
      <c r="B520" s="43"/>
      <c r="C520" s="43"/>
      <c r="D520" s="43"/>
      <c r="E520" s="43"/>
      <c r="F520" s="43"/>
      <c r="G520" s="43"/>
    </row>
    <row r="521" spans="1:7" x14ac:dyDescent="0.2">
      <c r="A521" s="44"/>
      <c r="B521" s="44"/>
      <c r="C521" s="44"/>
      <c r="D521" s="44"/>
      <c r="E521" s="44"/>
      <c r="F521" s="44"/>
      <c r="G521" s="44"/>
    </row>
    <row r="522" spans="1:7" x14ac:dyDescent="0.2">
      <c r="A522" s="43"/>
      <c r="B522" s="43"/>
      <c r="C522" s="43"/>
      <c r="D522" s="43"/>
      <c r="E522" s="43"/>
      <c r="F522" s="43"/>
      <c r="G522" s="43"/>
    </row>
    <row r="523" spans="1:7" x14ac:dyDescent="0.2">
      <c r="A523" s="44"/>
      <c r="B523" s="44"/>
      <c r="C523" s="44"/>
      <c r="D523" s="44"/>
      <c r="E523" s="44"/>
      <c r="F523" s="44"/>
      <c r="G523" s="44"/>
    </row>
    <row r="524" spans="1:7" x14ac:dyDescent="0.2">
      <c r="A524" s="43"/>
      <c r="B524" s="43"/>
      <c r="C524" s="43"/>
      <c r="D524" s="43"/>
      <c r="E524" s="43"/>
      <c r="F524" s="43"/>
      <c r="G524" s="43"/>
    </row>
    <row r="525" spans="1:7" x14ac:dyDescent="0.2">
      <c r="A525" s="44"/>
      <c r="B525" s="44"/>
      <c r="C525" s="44"/>
      <c r="D525" s="44"/>
      <c r="E525" s="44"/>
      <c r="F525" s="44"/>
      <c r="G525" s="44"/>
    </row>
    <row r="526" spans="1:7" x14ac:dyDescent="0.2">
      <c r="A526" s="43"/>
      <c r="B526" s="43"/>
      <c r="C526" s="43"/>
      <c r="D526" s="43"/>
      <c r="E526" s="43"/>
      <c r="F526" s="43"/>
      <c r="G526" s="43"/>
    </row>
    <row r="527" spans="1:7" x14ac:dyDescent="0.2">
      <c r="A527" s="44"/>
      <c r="B527" s="44"/>
      <c r="C527" s="44"/>
      <c r="D527" s="44"/>
      <c r="E527" s="44"/>
      <c r="F527" s="44"/>
      <c r="G527" s="44"/>
    </row>
    <row r="528" spans="1:7" x14ac:dyDescent="0.2">
      <c r="A528" s="43"/>
      <c r="B528" s="43"/>
      <c r="C528" s="43"/>
      <c r="D528" s="43"/>
      <c r="E528" s="43"/>
      <c r="F528" s="43"/>
      <c r="G528" s="43"/>
    </row>
    <row r="529" spans="1:7" x14ac:dyDescent="0.2">
      <c r="A529" s="44"/>
      <c r="B529" s="44"/>
      <c r="C529" s="44"/>
      <c r="D529" s="44"/>
      <c r="E529" s="44"/>
      <c r="F529" s="44"/>
      <c r="G529" s="44"/>
    </row>
    <row r="530" spans="1:7" x14ac:dyDescent="0.2">
      <c r="A530" s="43"/>
      <c r="B530" s="43"/>
      <c r="C530" s="43"/>
      <c r="D530" s="43"/>
      <c r="E530" s="43"/>
      <c r="F530" s="43"/>
      <c r="G530" s="43"/>
    </row>
    <row r="531" spans="1:7" x14ac:dyDescent="0.2">
      <c r="A531" s="44"/>
      <c r="B531" s="44"/>
      <c r="C531" s="44"/>
      <c r="D531" s="44"/>
      <c r="E531" s="44"/>
      <c r="F531" s="44"/>
      <c r="G531" s="44"/>
    </row>
    <row r="532" spans="1:7" x14ac:dyDescent="0.2">
      <c r="A532" s="43"/>
      <c r="B532" s="43"/>
      <c r="C532" s="43"/>
      <c r="D532" s="43"/>
      <c r="E532" s="43"/>
      <c r="F532" s="43"/>
      <c r="G532" s="43"/>
    </row>
    <row r="533" spans="1:7" x14ac:dyDescent="0.2">
      <c r="A533" s="44"/>
      <c r="B533" s="44"/>
      <c r="C533" s="44"/>
      <c r="D533" s="44"/>
      <c r="E533" s="44"/>
      <c r="F533" s="44"/>
      <c r="G533" s="44"/>
    </row>
    <row r="534" spans="1:7" x14ac:dyDescent="0.2">
      <c r="A534" s="43"/>
      <c r="B534" s="43"/>
      <c r="C534" s="43"/>
      <c r="D534" s="43"/>
      <c r="E534" s="43"/>
      <c r="F534" s="43"/>
      <c r="G534" s="43"/>
    </row>
    <row r="535" spans="1:7" x14ac:dyDescent="0.2">
      <c r="A535" s="44"/>
      <c r="B535" s="44"/>
      <c r="C535" s="44"/>
      <c r="D535" s="44"/>
      <c r="E535" s="44"/>
      <c r="F535" s="44"/>
      <c r="G535" s="44"/>
    </row>
    <row r="536" spans="1:7" x14ac:dyDescent="0.2">
      <c r="A536" s="43"/>
      <c r="B536" s="43"/>
      <c r="C536" s="43"/>
      <c r="D536" s="43"/>
      <c r="E536" s="43"/>
      <c r="F536" s="43"/>
      <c r="G536" s="43"/>
    </row>
    <row r="537" spans="1:7" x14ac:dyDescent="0.2">
      <c r="A537" s="44"/>
      <c r="B537" s="44"/>
      <c r="C537" s="44"/>
      <c r="D537" s="44"/>
      <c r="E537" s="44"/>
      <c r="F537" s="44"/>
      <c r="G537" s="44"/>
    </row>
    <row r="538" spans="1:7" x14ac:dyDescent="0.2">
      <c r="A538" s="43"/>
      <c r="B538" s="43"/>
      <c r="C538" s="43"/>
      <c r="D538" s="43"/>
      <c r="E538" s="43"/>
      <c r="F538" s="43"/>
      <c r="G538" s="43"/>
    </row>
    <row r="539" spans="1:7" x14ac:dyDescent="0.2">
      <c r="A539" s="44"/>
      <c r="B539" s="44"/>
      <c r="C539" s="44"/>
      <c r="D539" s="44"/>
      <c r="E539" s="44"/>
      <c r="F539" s="44"/>
      <c r="G539" s="44"/>
    </row>
    <row r="540" spans="1:7" x14ac:dyDescent="0.2">
      <c r="A540" s="43"/>
      <c r="B540" s="43"/>
      <c r="C540" s="43"/>
      <c r="D540" s="43"/>
      <c r="E540" s="43"/>
      <c r="F540" s="43"/>
      <c r="G540" s="43"/>
    </row>
    <row r="541" spans="1:7" x14ac:dyDescent="0.2">
      <c r="A541" s="44"/>
      <c r="B541" s="44"/>
      <c r="C541" s="44"/>
      <c r="D541" s="44"/>
      <c r="E541" s="44"/>
      <c r="F541" s="44"/>
      <c r="G541" s="44"/>
    </row>
    <row r="542" spans="1:7" x14ac:dyDescent="0.2">
      <c r="A542" s="43"/>
      <c r="B542" s="43"/>
      <c r="C542" s="43"/>
      <c r="D542" s="43"/>
      <c r="E542" s="43"/>
      <c r="F542" s="43"/>
      <c r="G542" s="43"/>
    </row>
    <row r="543" spans="1:7" x14ac:dyDescent="0.2">
      <c r="A543" s="44"/>
      <c r="B543" s="44"/>
      <c r="C543" s="44"/>
      <c r="D543" s="44"/>
      <c r="E543" s="44"/>
      <c r="F543" s="44"/>
      <c r="G543" s="44"/>
    </row>
    <row r="544" spans="1:7" x14ac:dyDescent="0.2">
      <c r="A544" s="43"/>
      <c r="B544" s="43"/>
      <c r="C544" s="43"/>
      <c r="D544" s="43"/>
      <c r="E544" s="43"/>
      <c r="F544" s="43"/>
      <c r="G544" s="43"/>
    </row>
    <row r="545" spans="1:7" x14ac:dyDescent="0.2">
      <c r="A545" s="44"/>
      <c r="B545" s="44"/>
      <c r="C545" s="44"/>
      <c r="D545" s="44"/>
      <c r="E545" s="44"/>
      <c r="F545" s="44"/>
      <c r="G545" s="44"/>
    </row>
    <row r="546" spans="1:7" x14ac:dyDescent="0.2">
      <c r="A546" s="43"/>
      <c r="B546" s="43"/>
      <c r="C546" s="43"/>
      <c r="D546" s="43"/>
      <c r="E546" s="43"/>
      <c r="F546" s="43"/>
      <c r="G546" s="43"/>
    </row>
    <row r="547" spans="1:7" x14ac:dyDescent="0.2">
      <c r="A547" s="44"/>
      <c r="B547" s="44"/>
      <c r="C547" s="44"/>
      <c r="D547" s="44"/>
      <c r="E547" s="44"/>
      <c r="F547" s="44"/>
      <c r="G547" s="44"/>
    </row>
    <row r="548" spans="1:7" x14ac:dyDescent="0.2">
      <c r="A548" s="43"/>
      <c r="B548" s="43"/>
      <c r="C548" s="43"/>
      <c r="D548" s="43"/>
      <c r="E548" s="43"/>
      <c r="F548" s="43"/>
      <c r="G548" s="43"/>
    </row>
    <row r="549" spans="1:7" x14ac:dyDescent="0.2">
      <c r="A549" s="44"/>
      <c r="B549" s="44"/>
      <c r="C549" s="44"/>
      <c r="D549" s="44"/>
      <c r="E549" s="44"/>
      <c r="F549" s="44"/>
      <c r="G549" s="44"/>
    </row>
    <row r="550" spans="1:7" x14ac:dyDescent="0.2">
      <c r="A550" s="43"/>
      <c r="B550" s="43"/>
      <c r="C550" s="43"/>
      <c r="D550" s="43"/>
      <c r="E550" s="43"/>
      <c r="F550" s="43"/>
      <c r="G550" s="43"/>
    </row>
    <row r="551" spans="1:7" x14ac:dyDescent="0.2">
      <c r="A551" s="44"/>
      <c r="B551" s="44"/>
      <c r="C551" s="44"/>
      <c r="D551" s="44"/>
      <c r="E551" s="44"/>
      <c r="F551" s="44"/>
      <c r="G551" s="44"/>
    </row>
    <row r="552" spans="1:7" x14ac:dyDescent="0.2">
      <c r="A552" s="43"/>
      <c r="B552" s="43"/>
      <c r="C552" s="43"/>
      <c r="D552" s="43"/>
      <c r="E552" s="43"/>
      <c r="F552" s="43"/>
      <c r="G552" s="43"/>
    </row>
    <row r="553" spans="1:7" x14ac:dyDescent="0.2">
      <c r="A553" s="44"/>
      <c r="B553" s="44"/>
      <c r="C553" s="44"/>
      <c r="D553" s="44"/>
      <c r="E553" s="44"/>
      <c r="F553" s="44"/>
      <c r="G553" s="44"/>
    </row>
    <row r="554" spans="1:7" x14ac:dyDescent="0.2">
      <c r="A554" s="43"/>
      <c r="B554" s="43"/>
      <c r="C554" s="43"/>
      <c r="D554" s="43"/>
      <c r="E554" s="43"/>
      <c r="F554" s="43"/>
      <c r="G554" s="43"/>
    </row>
    <row r="555" spans="1:7" x14ac:dyDescent="0.2">
      <c r="A555" s="44"/>
      <c r="B555" s="44"/>
      <c r="C555" s="44"/>
      <c r="D555" s="44"/>
      <c r="E555" s="44"/>
      <c r="F555" s="44"/>
      <c r="G555" s="44"/>
    </row>
    <row r="556" spans="1:7" x14ac:dyDescent="0.2">
      <c r="A556" s="43"/>
      <c r="B556" s="43"/>
      <c r="C556" s="43"/>
      <c r="D556" s="43"/>
      <c r="E556" s="43"/>
      <c r="F556" s="43"/>
      <c r="G556" s="43"/>
    </row>
    <row r="557" spans="1:7" x14ac:dyDescent="0.2">
      <c r="A557" s="44"/>
      <c r="B557" s="44"/>
      <c r="C557" s="44"/>
      <c r="D557" s="44"/>
      <c r="E557" s="44"/>
      <c r="F557" s="44"/>
      <c r="G557" s="44"/>
    </row>
    <row r="558" spans="1:7" x14ac:dyDescent="0.2">
      <c r="A558" s="43"/>
      <c r="B558" s="43"/>
      <c r="C558" s="43"/>
      <c r="D558" s="43"/>
      <c r="E558" s="43"/>
      <c r="F558" s="43"/>
      <c r="G558" s="43"/>
    </row>
    <row r="559" spans="1:7" x14ac:dyDescent="0.2">
      <c r="A559" s="44"/>
      <c r="B559" s="44"/>
      <c r="C559" s="44"/>
      <c r="D559" s="44"/>
      <c r="E559" s="44"/>
      <c r="F559" s="44"/>
      <c r="G559" s="44"/>
    </row>
    <row r="560" spans="1:7" x14ac:dyDescent="0.2">
      <c r="A560" s="43"/>
      <c r="B560" s="43"/>
      <c r="C560" s="43"/>
      <c r="D560" s="43"/>
      <c r="E560" s="43"/>
      <c r="F560" s="43"/>
      <c r="G560" s="43"/>
    </row>
    <row r="561" spans="1:7" x14ac:dyDescent="0.2">
      <c r="A561" s="44"/>
      <c r="B561" s="44"/>
      <c r="C561" s="44"/>
      <c r="D561" s="44"/>
      <c r="E561" s="44"/>
      <c r="F561" s="44"/>
      <c r="G561" s="44"/>
    </row>
    <row r="562" spans="1:7" x14ac:dyDescent="0.2">
      <c r="A562" s="43"/>
      <c r="B562" s="43"/>
      <c r="C562" s="43"/>
      <c r="D562" s="43"/>
      <c r="E562" s="43"/>
      <c r="F562" s="43"/>
      <c r="G562" s="43"/>
    </row>
    <row r="563" spans="1:7" x14ac:dyDescent="0.2">
      <c r="A563" s="44"/>
      <c r="B563" s="44"/>
      <c r="C563" s="44"/>
      <c r="D563" s="44"/>
      <c r="E563" s="44"/>
      <c r="F563" s="44"/>
      <c r="G563" s="44"/>
    </row>
    <row r="564" spans="1:7" x14ac:dyDescent="0.2">
      <c r="A564" s="43"/>
      <c r="B564" s="43"/>
      <c r="C564" s="43"/>
      <c r="D564" s="43"/>
      <c r="E564" s="43"/>
      <c r="F564" s="43"/>
      <c r="G564" s="43"/>
    </row>
    <row r="565" spans="1:7" x14ac:dyDescent="0.2">
      <c r="A565" s="44"/>
      <c r="B565" s="44"/>
      <c r="C565" s="44"/>
      <c r="D565" s="44"/>
      <c r="E565" s="44"/>
      <c r="F565" s="44"/>
      <c r="G565" s="44"/>
    </row>
    <row r="566" spans="1:7" x14ac:dyDescent="0.2">
      <c r="A566" s="43"/>
      <c r="B566" s="43"/>
      <c r="C566" s="43"/>
      <c r="D566" s="43"/>
      <c r="E566" s="43"/>
      <c r="F566" s="43"/>
      <c r="G566" s="43"/>
    </row>
    <row r="567" spans="1:7" x14ac:dyDescent="0.2">
      <c r="A567" s="44"/>
      <c r="B567" s="44"/>
      <c r="C567" s="44"/>
      <c r="D567" s="44"/>
      <c r="E567" s="44"/>
      <c r="F567" s="44"/>
      <c r="G567" s="44"/>
    </row>
    <row r="568" spans="1:7" x14ac:dyDescent="0.2">
      <c r="A568" s="43"/>
      <c r="B568" s="43"/>
      <c r="C568" s="43"/>
      <c r="D568" s="43"/>
      <c r="E568" s="43"/>
      <c r="F568" s="43"/>
      <c r="G568" s="43"/>
    </row>
    <row r="569" spans="1:7" x14ac:dyDescent="0.2">
      <c r="A569" s="44"/>
      <c r="B569" s="44"/>
      <c r="C569" s="44"/>
      <c r="D569" s="44"/>
      <c r="E569" s="44"/>
      <c r="F569" s="44"/>
      <c r="G569" s="44"/>
    </row>
    <row r="570" spans="1:7" x14ac:dyDescent="0.2">
      <c r="A570" s="43"/>
      <c r="B570" s="43"/>
      <c r="C570" s="43"/>
      <c r="D570" s="43"/>
      <c r="E570" s="43"/>
      <c r="F570" s="43"/>
      <c r="G570" s="43"/>
    </row>
    <row r="571" spans="1:7" x14ac:dyDescent="0.2">
      <c r="A571" s="44"/>
      <c r="B571" s="44"/>
      <c r="C571" s="44"/>
      <c r="D571" s="44"/>
      <c r="E571" s="44"/>
      <c r="F571" s="44"/>
      <c r="G571" s="44"/>
    </row>
    <row r="572" spans="1:7" x14ac:dyDescent="0.2">
      <c r="A572" s="43"/>
      <c r="B572" s="43"/>
      <c r="C572" s="43"/>
      <c r="D572" s="43"/>
      <c r="E572" s="43"/>
      <c r="F572" s="43"/>
      <c r="G572" s="43"/>
    </row>
    <row r="573" spans="1:7" x14ac:dyDescent="0.2">
      <c r="A573" s="44"/>
      <c r="B573" s="44"/>
      <c r="C573" s="44"/>
      <c r="D573" s="44"/>
      <c r="E573" s="44"/>
      <c r="F573" s="44"/>
      <c r="G573" s="44"/>
    </row>
    <row r="574" spans="1:7" x14ac:dyDescent="0.2">
      <c r="A574" s="43"/>
      <c r="B574" s="43"/>
      <c r="C574" s="43"/>
      <c r="D574" s="43"/>
      <c r="E574" s="43"/>
      <c r="F574" s="43"/>
      <c r="G574" s="43"/>
    </row>
    <row r="575" spans="1:7" x14ac:dyDescent="0.2">
      <c r="A575" s="44"/>
      <c r="B575" s="44"/>
      <c r="C575" s="44"/>
      <c r="D575" s="44"/>
      <c r="E575" s="44"/>
      <c r="F575" s="44"/>
      <c r="G575" s="44"/>
    </row>
    <row r="576" spans="1:7" x14ac:dyDescent="0.2">
      <c r="A576" s="43"/>
      <c r="B576" s="43"/>
      <c r="C576" s="43"/>
      <c r="D576" s="43"/>
      <c r="E576" s="43"/>
      <c r="F576" s="43"/>
      <c r="G576" s="43"/>
    </row>
    <row r="577" spans="1:7" x14ac:dyDescent="0.2">
      <c r="A577" s="44"/>
      <c r="B577" s="44"/>
      <c r="C577" s="44"/>
      <c r="D577" s="44"/>
      <c r="E577" s="44"/>
      <c r="F577" s="44"/>
      <c r="G577" s="44"/>
    </row>
    <row r="578" spans="1:7" x14ac:dyDescent="0.2">
      <c r="A578" s="43"/>
      <c r="B578" s="43"/>
      <c r="C578" s="43"/>
      <c r="D578" s="43"/>
      <c r="E578" s="43"/>
      <c r="F578" s="43"/>
      <c r="G578" s="43"/>
    </row>
    <row r="579" spans="1:7" x14ac:dyDescent="0.2">
      <c r="A579" s="44"/>
      <c r="B579" s="44"/>
      <c r="C579" s="44"/>
      <c r="D579" s="44"/>
      <c r="E579" s="44"/>
      <c r="F579" s="44"/>
      <c r="G579" s="44"/>
    </row>
    <row r="580" spans="1:7" x14ac:dyDescent="0.2">
      <c r="A580" s="43"/>
      <c r="B580" s="43"/>
      <c r="C580" s="43"/>
      <c r="D580" s="43"/>
      <c r="E580" s="43"/>
      <c r="F580" s="43"/>
      <c r="G580" s="43"/>
    </row>
    <row r="581" spans="1:7" x14ac:dyDescent="0.2">
      <c r="A581" s="44"/>
      <c r="B581" s="44"/>
      <c r="C581" s="44"/>
      <c r="D581" s="44"/>
      <c r="E581" s="44"/>
      <c r="F581" s="44"/>
      <c r="G581" s="44"/>
    </row>
    <row r="582" spans="1:7" x14ac:dyDescent="0.2">
      <c r="A582" s="43"/>
      <c r="B582" s="43"/>
      <c r="C582" s="43"/>
      <c r="D582" s="43"/>
      <c r="E582" s="43"/>
      <c r="F582" s="43"/>
      <c r="G582" s="43"/>
    </row>
    <row r="583" spans="1:7" x14ac:dyDescent="0.2">
      <c r="A583" s="44"/>
      <c r="B583" s="44"/>
      <c r="C583" s="44"/>
      <c r="D583" s="44"/>
      <c r="E583" s="44"/>
      <c r="F583" s="44"/>
      <c r="G583" s="44"/>
    </row>
    <row r="584" spans="1:7" x14ac:dyDescent="0.2">
      <c r="A584" s="43"/>
      <c r="B584" s="43"/>
      <c r="C584" s="43"/>
      <c r="D584" s="43"/>
      <c r="E584" s="43"/>
      <c r="F584" s="43"/>
      <c r="G584" s="43"/>
    </row>
    <row r="585" spans="1:7" x14ac:dyDescent="0.2">
      <c r="A585" s="44"/>
      <c r="B585" s="44"/>
      <c r="C585" s="44"/>
      <c r="D585" s="44"/>
      <c r="E585" s="44"/>
      <c r="F585" s="44"/>
      <c r="G585" s="44"/>
    </row>
    <row r="586" spans="1:7" x14ac:dyDescent="0.2">
      <c r="A586" s="43"/>
      <c r="B586" s="43"/>
      <c r="C586" s="43"/>
      <c r="D586" s="43"/>
      <c r="E586" s="43"/>
      <c r="F586" s="43"/>
      <c r="G586" s="43"/>
    </row>
    <row r="587" spans="1:7" x14ac:dyDescent="0.2">
      <c r="A587" s="44"/>
      <c r="B587" s="44"/>
      <c r="C587" s="44"/>
      <c r="D587" s="44"/>
      <c r="E587" s="44"/>
      <c r="F587" s="44"/>
      <c r="G587" s="44"/>
    </row>
    <row r="588" spans="1:7" x14ac:dyDescent="0.2">
      <c r="A588" s="43"/>
      <c r="B588" s="43"/>
      <c r="C588" s="43"/>
      <c r="D588" s="43"/>
      <c r="E588" s="43"/>
      <c r="F588" s="43"/>
      <c r="G588" s="43"/>
    </row>
    <row r="589" spans="1:7" x14ac:dyDescent="0.2">
      <c r="A589" s="44"/>
      <c r="B589" s="44"/>
      <c r="C589" s="44"/>
      <c r="D589" s="44"/>
      <c r="E589" s="44"/>
      <c r="F589" s="44"/>
      <c r="G589" s="44"/>
    </row>
    <row r="590" spans="1:7" x14ac:dyDescent="0.2">
      <c r="A590" s="43"/>
      <c r="B590" s="43"/>
      <c r="C590" s="43"/>
      <c r="D590" s="43"/>
      <c r="E590" s="43"/>
      <c r="F590" s="43"/>
      <c r="G590" s="43"/>
    </row>
    <row r="591" spans="1:7" x14ac:dyDescent="0.2">
      <c r="A591" s="44"/>
      <c r="B591" s="44"/>
      <c r="C591" s="44"/>
      <c r="D591" s="44"/>
      <c r="E591" s="44"/>
      <c r="F591" s="44"/>
      <c r="G591" s="44"/>
    </row>
    <row r="592" spans="1:7" x14ac:dyDescent="0.2">
      <c r="A592" s="43"/>
      <c r="B592" s="43"/>
      <c r="C592" s="43"/>
      <c r="D592" s="43"/>
      <c r="E592" s="43"/>
      <c r="F592" s="43"/>
      <c r="G592" s="43"/>
    </row>
    <row r="593" spans="1:7" x14ac:dyDescent="0.2">
      <c r="A593" s="44"/>
      <c r="B593" s="44"/>
      <c r="C593" s="44"/>
      <c r="D593" s="44"/>
      <c r="E593" s="44"/>
      <c r="F593" s="44"/>
      <c r="G593" s="44"/>
    </row>
    <row r="594" spans="1:7" x14ac:dyDescent="0.2">
      <c r="A594" s="43"/>
      <c r="B594" s="43"/>
      <c r="C594" s="43"/>
      <c r="D594" s="43"/>
      <c r="E594" s="43"/>
      <c r="F594" s="43"/>
      <c r="G594" s="43"/>
    </row>
    <row r="595" spans="1:7" x14ac:dyDescent="0.2">
      <c r="A595" s="44"/>
      <c r="B595" s="44"/>
      <c r="C595" s="44"/>
      <c r="D595" s="44"/>
      <c r="E595" s="44"/>
      <c r="F595" s="44"/>
      <c r="G595" s="44"/>
    </row>
    <row r="596" spans="1:7" x14ac:dyDescent="0.2">
      <c r="A596" s="43"/>
      <c r="B596" s="43"/>
      <c r="C596" s="43"/>
      <c r="D596" s="43"/>
      <c r="E596" s="43"/>
      <c r="F596" s="43"/>
      <c r="G596" s="43"/>
    </row>
    <row r="597" spans="1:7" x14ac:dyDescent="0.2">
      <c r="A597" s="44"/>
      <c r="B597" s="44"/>
      <c r="C597" s="44"/>
      <c r="D597" s="44"/>
      <c r="E597" s="44"/>
      <c r="F597" s="44"/>
      <c r="G597" s="44"/>
    </row>
    <row r="598" spans="1:7" x14ac:dyDescent="0.2">
      <c r="A598" s="43"/>
      <c r="B598" s="43"/>
      <c r="C598" s="43"/>
      <c r="D598" s="43"/>
      <c r="E598" s="43"/>
      <c r="F598" s="43"/>
      <c r="G598" s="43"/>
    </row>
    <row r="599" spans="1:7" x14ac:dyDescent="0.2">
      <c r="A599" s="44"/>
      <c r="B599" s="44"/>
      <c r="C599" s="44"/>
      <c r="D599" s="44"/>
      <c r="E599" s="44"/>
      <c r="F599" s="44"/>
      <c r="G599" s="44"/>
    </row>
    <row r="600" spans="1:7" x14ac:dyDescent="0.2">
      <c r="A600" s="43"/>
      <c r="B600" s="43"/>
      <c r="C600" s="43"/>
      <c r="D600" s="43"/>
      <c r="E600" s="43"/>
      <c r="F600" s="43"/>
      <c r="G600" s="43"/>
    </row>
    <row r="601" spans="1:7" x14ac:dyDescent="0.2">
      <c r="A601" s="44"/>
      <c r="B601" s="44"/>
      <c r="C601" s="44"/>
      <c r="D601" s="44"/>
      <c r="E601" s="44"/>
      <c r="F601" s="44"/>
      <c r="G601" s="44"/>
    </row>
    <row r="602" spans="1:7" x14ac:dyDescent="0.2">
      <c r="A602" s="43"/>
      <c r="B602" s="43"/>
      <c r="C602" s="43"/>
      <c r="D602" s="43"/>
      <c r="E602" s="43"/>
      <c r="F602" s="43"/>
      <c r="G602" s="43"/>
    </row>
    <row r="603" spans="1:7" x14ac:dyDescent="0.2">
      <c r="A603" s="44"/>
      <c r="B603" s="44"/>
      <c r="C603" s="44"/>
      <c r="D603" s="44"/>
      <c r="E603" s="44"/>
      <c r="F603" s="44"/>
      <c r="G603" s="44"/>
    </row>
    <row r="604" spans="1:7" x14ac:dyDescent="0.2">
      <c r="A604" s="43"/>
      <c r="B604" s="43"/>
      <c r="C604" s="43"/>
      <c r="D604" s="43"/>
      <c r="E604" s="43"/>
      <c r="F604" s="43"/>
      <c r="G604" s="43"/>
    </row>
    <row r="605" spans="1:7" x14ac:dyDescent="0.2">
      <c r="A605" s="44"/>
      <c r="B605" s="44"/>
      <c r="C605" s="44"/>
      <c r="D605" s="44"/>
      <c r="E605" s="44"/>
      <c r="F605" s="44"/>
      <c r="G605" s="44"/>
    </row>
    <row r="606" spans="1:7" x14ac:dyDescent="0.2">
      <c r="A606" s="43"/>
      <c r="B606" s="43"/>
      <c r="C606" s="43"/>
      <c r="D606" s="43"/>
      <c r="E606" s="43"/>
      <c r="F606" s="43"/>
      <c r="G606" s="43"/>
    </row>
    <row r="607" spans="1:7" x14ac:dyDescent="0.2">
      <c r="A607" s="44"/>
      <c r="B607" s="44"/>
      <c r="C607" s="44"/>
      <c r="D607" s="44"/>
      <c r="E607" s="44"/>
      <c r="F607" s="44"/>
      <c r="G607" s="44"/>
    </row>
    <row r="608" spans="1:7" x14ac:dyDescent="0.2">
      <c r="A608" s="43"/>
      <c r="B608" s="43"/>
      <c r="C608" s="43"/>
      <c r="D608" s="43"/>
      <c r="E608" s="43"/>
      <c r="F608" s="43"/>
      <c r="G608" s="43"/>
    </row>
    <row r="609" spans="1:7" x14ac:dyDescent="0.2">
      <c r="A609" s="44"/>
      <c r="B609" s="44"/>
      <c r="C609" s="44"/>
      <c r="D609" s="44"/>
      <c r="E609" s="44"/>
      <c r="F609" s="44"/>
      <c r="G609" s="44"/>
    </row>
    <row r="610" spans="1:7" x14ac:dyDescent="0.2">
      <c r="A610" s="43"/>
      <c r="B610" s="43"/>
      <c r="C610" s="43"/>
      <c r="D610" s="43"/>
      <c r="E610" s="43"/>
      <c r="F610" s="43"/>
      <c r="G610" s="43"/>
    </row>
    <row r="611" spans="1:7" x14ac:dyDescent="0.2">
      <c r="A611" s="44"/>
      <c r="B611" s="44"/>
      <c r="C611" s="44"/>
      <c r="D611" s="44"/>
      <c r="E611" s="44"/>
      <c r="F611" s="44"/>
      <c r="G611" s="44"/>
    </row>
    <row r="612" spans="1:7" x14ac:dyDescent="0.2">
      <c r="A612" s="43"/>
      <c r="B612" s="43"/>
      <c r="C612" s="43"/>
      <c r="D612" s="43"/>
      <c r="E612" s="43"/>
      <c r="F612" s="43"/>
      <c r="G612" s="43"/>
    </row>
    <row r="613" spans="1:7" x14ac:dyDescent="0.2">
      <c r="A613" s="44"/>
      <c r="B613" s="44"/>
      <c r="C613" s="44"/>
      <c r="D613" s="44"/>
      <c r="E613" s="44"/>
      <c r="F613" s="44"/>
      <c r="G613" s="44"/>
    </row>
    <row r="614" spans="1:7" x14ac:dyDescent="0.2">
      <c r="A614" s="43"/>
      <c r="B614" s="43"/>
      <c r="C614" s="43"/>
      <c r="D614" s="43"/>
      <c r="E614" s="43"/>
      <c r="F614" s="43"/>
      <c r="G614" s="43"/>
    </row>
    <row r="615" spans="1:7" x14ac:dyDescent="0.2">
      <c r="A615" s="44"/>
      <c r="B615" s="44"/>
      <c r="C615" s="44"/>
      <c r="D615" s="44"/>
      <c r="E615" s="44"/>
      <c r="F615" s="44"/>
      <c r="G615" s="44"/>
    </row>
    <row r="616" spans="1:7" x14ac:dyDescent="0.2">
      <c r="A616" s="43"/>
      <c r="B616" s="43"/>
      <c r="C616" s="43"/>
      <c r="D616" s="43"/>
      <c r="E616" s="43"/>
      <c r="F616" s="43"/>
      <c r="G616" s="43"/>
    </row>
    <row r="617" spans="1:7" x14ac:dyDescent="0.2">
      <c r="A617" s="44"/>
      <c r="B617" s="44"/>
      <c r="C617" s="44"/>
      <c r="D617" s="44"/>
      <c r="E617" s="44"/>
      <c r="F617" s="44"/>
      <c r="G617" s="44"/>
    </row>
    <row r="618" spans="1:7" x14ac:dyDescent="0.2">
      <c r="A618" s="43"/>
      <c r="B618" s="43"/>
      <c r="C618" s="43"/>
      <c r="D618" s="43"/>
      <c r="E618" s="43"/>
      <c r="F618" s="43"/>
      <c r="G618" s="43"/>
    </row>
    <row r="619" spans="1:7" x14ac:dyDescent="0.2">
      <c r="A619" s="44"/>
      <c r="B619" s="44"/>
      <c r="C619" s="44"/>
      <c r="D619" s="44"/>
      <c r="E619" s="44"/>
      <c r="F619" s="44"/>
      <c r="G619" s="44"/>
    </row>
    <row r="620" spans="1:7" x14ac:dyDescent="0.2">
      <c r="A620" s="43"/>
      <c r="B620" s="43"/>
      <c r="C620" s="43"/>
      <c r="D620" s="43"/>
      <c r="E620" s="43"/>
      <c r="F620" s="43"/>
      <c r="G620" s="43"/>
    </row>
    <row r="621" spans="1:7" x14ac:dyDescent="0.2">
      <c r="A621" s="44"/>
      <c r="B621" s="44"/>
      <c r="C621" s="44"/>
      <c r="D621" s="44"/>
      <c r="E621" s="44"/>
      <c r="F621" s="44"/>
      <c r="G621" s="44"/>
    </row>
    <row r="622" spans="1:7" x14ac:dyDescent="0.2">
      <c r="A622" s="43"/>
      <c r="B622" s="43"/>
      <c r="C622" s="43"/>
      <c r="D622" s="43"/>
      <c r="E622" s="43"/>
      <c r="F622" s="43"/>
      <c r="G622" s="43"/>
    </row>
    <row r="623" spans="1:7" x14ac:dyDescent="0.2">
      <c r="A623" s="44"/>
      <c r="B623" s="44"/>
      <c r="C623" s="44"/>
      <c r="D623" s="44"/>
      <c r="E623" s="44"/>
      <c r="F623" s="44"/>
      <c r="G623" s="44"/>
    </row>
    <row r="624" spans="1:7" x14ac:dyDescent="0.2">
      <c r="A624" s="43"/>
      <c r="B624" s="43"/>
      <c r="C624" s="43"/>
      <c r="D624" s="43"/>
      <c r="E624" s="43"/>
      <c r="F624" s="43"/>
      <c r="G624" s="43"/>
    </row>
    <row r="625" spans="1:7" x14ac:dyDescent="0.2">
      <c r="A625" s="44"/>
      <c r="B625" s="44"/>
      <c r="C625" s="44"/>
      <c r="D625" s="44"/>
      <c r="E625" s="44"/>
      <c r="F625" s="44"/>
      <c r="G625" s="44"/>
    </row>
    <row r="626" spans="1:7" x14ac:dyDescent="0.2">
      <c r="A626" s="43"/>
      <c r="B626" s="43"/>
      <c r="C626" s="43"/>
      <c r="D626" s="43"/>
      <c r="E626" s="43"/>
      <c r="F626" s="43"/>
      <c r="G626" s="43"/>
    </row>
    <row r="627" spans="1:7" x14ac:dyDescent="0.2">
      <c r="A627" s="44"/>
      <c r="B627" s="44"/>
      <c r="C627" s="44"/>
      <c r="D627" s="44"/>
      <c r="E627" s="44"/>
      <c r="F627" s="44"/>
      <c r="G627" s="44"/>
    </row>
    <row r="628" spans="1:7" x14ac:dyDescent="0.2">
      <c r="A628" s="43"/>
      <c r="B628" s="43"/>
      <c r="C628" s="43"/>
      <c r="D628" s="43"/>
      <c r="E628" s="43"/>
      <c r="F628" s="43"/>
      <c r="G628" s="43"/>
    </row>
    <row r="629" spans="1:7" x14ac:dyDescent="0.2">
      <c r="A629" s="44"/>
      <c r="B629" s="44"/>
      <c r="C629" s="44"/>
      <c r="D629" s="44"/>
      <c r="E629" s="44"/>
      <c r="F629" s="44"/>
      <c r="G629" s="44"/>
    </row>
    <row r="630" spans="1:7" x14ac:dyDescent="0.2">
      <c r="A630" s="43"/>
      <c r="B630" s="43"/>
      <c r="C630" s="43"/>
      <c r="D630" s="43"/>
      <c r="E630" s="43"/>
      <c r="F630" s="43"/>
      <c r="G630" s="43"/>
    </row>
    <row r="631" spans="1:7" x14ac:dyDescent="0.2">
      <c r="A631" s="44"/>
      <c r="B631" s="44"/>
      <c r="C631" s="44"/>
      <c r="D631" s="44"/>
      <c r="E631" s="44"/>
      <c r="F631" s="44"/>
      <c r="G631" s="44"/>
    </row>
    <row r="632" spans="1:7" x14ac:dyDescent="0.2">
      <c r="A632" s="43"/>
      <c r="B632" s="43"/>
      <c r="C632" s="43"/>
      <c r="D632" s="43"/>
      <c r="E632" s="43"/>
      <c r="F632" s="43"/>
      <c r="G632" s="43"/>
    </row>
    <row r="633" spans="1:7" x14ac:dyDescent="0.2">
      <c r="A633" s="44"/>
      <c r="B633" s="44"/>
      <c r="C633" s="44"/>
      <c r="D633" s="44"/>
      <c r="E633" s="44"/>
      <c r="F633" s="44"/>
      <c r="G633" s="44"/>
    </row>
    <row r="634" spans="1:7" x14ac:dyDescent="0.2">
      <c r="A634" s="43"/>
      <c r="B634" s="43"/>
      <c r="C634" s="43"/>
      <c r="D634" s="43"/>
      <c r="E634" s="43"/>
      <c r="F634" s="43"/>
      <c r="G634" s="43"/>
    </row>
    <row r="635" spans="1:7" x14ac:dyDescent="0.2">
      <c r="A635" s="44"/>
      <c r="B635" s="44"/>
      <c r="C635" s="44"/>
      <c r="D635" s="44"/>
      <c r="E635" s="44"/>
      <c r="F635" s="44"/>
      <c r="G635" s="44"/>
    </row>
    <row r="636" spans="1:7" x14ac:dyDescent="0.2">
      <c r="A636" s="43"/>
      <c r="B636" s="43"/>
      <c r="C636" s="43"/>
      <c r="D636" s="43"/>
      <c r="E636" s="43"/>
      <c r="F636" s="43"/>
      <c r="G636" s="43"/>
    </row>
    <row r="637" spans="1:7" x14ac:dyDescent="0.2">
      <c r="A637" s="44"/>
      <c r="B637" s="44"/>
      <c r="C637" s="44"/>
      <c r="D637" s="44"/>
      <c r="E637" s="44"/>
      <c r="F637" s="44"/>
      <c r="G637" s="44"/>
    </row>
    <row r="638" spans="1:7" x14ac:dyDescent="0.2">
      <c r="A638" s="43"/>
      <c r="B638" s="43"/>
      <c r="C638" s="43"/>
      <c r="D638" s="43"/>
      <c r="E638" s="43"/>
      <c r="F638" s="43"/>
      <c r="G638" s="43"/>
    </row>
    <row r="639" spans="1:7" x14ac:dyDescent="0.2">
      <c r="A639" s="44"/>
      <c r="B639" s="44"/>
      <c r="C639" s="44"/>
      <c r="D639" s="44"/>
      <c r="E639" s="44"/>
      <c r="F639" s="44"/>
      <c r="G639" s="44"/>
    </row>
    <row r="640" spans="1:7" x14ac:dyDescent="0.2">
      <c r="A640" s="43"/>
      <c r="B640" s="43"/>
      <c r="C640" s="43"/>
      <c r="D640" s="43"/>
      <c r="E640" s="43"/>
      <c r="F640" s="43"/>
      <c r="G640" s="43"/>
    </row>
    <row r="641" spans="1:7" x14ac:dyDescent="0.2">
      <c r="A641" s="44"/>
      <c r="B641" s="44"/>
      <c r="C641" s="44"/>
      <c r="D641" s="44"/>
      <c r="E641" s="44"/>
      <c r="F641" s="44"/>
      <c r="G641" s="44"/>
    </row>
    <row r="642" spans="1:7" x14ac:dyDescent="0.2">
      <c r="A642" s="43"/>
      <c r="B642" s="43"/>
      <c r="C642" s="43"/>
      <c r="D642" s="43"/>
      <c r="E642" s="43"/>
      <c r="F642" s="43"/>
      <c r="G642" s="43"/>
    </row>
    <row r="643" spans="1:7" x14ac:dyDescent="0.2">
      <c r="A643" s="44"/>
      <c r="B643" s="44"/>
      <c r="C643" s="44"/>
      <c r="D643" s="44"/>
      <c r="E643" s="44"/>
      <c r="F643" s="44"/>
      <c r="G643" s="44"/>
    </row>
    <row r="644" spans="1:7" x14ac:dyDescent="0.2">
      <c r="A644" s="43"/>
      <c r="B644" s="43"/>
      <c r="C644" s="43"/>
      <c r="D644" s="43"/>
      <c r="E644" s="43"/>
      <c r="F644" s="43"/>
      <c r="G644" s="43"/>
    </row>
    <row r="645" spans="1:7" x14ac:dyDescent="0.2">
      <c r="A645" s="44"/>
      <c r="B645" s="44"/>
      <c r="C645" s="44"/>
      <c r="D645" s="44"/>
      <c r="E645" s="44"/>
      <c r="F645" s="44"/>
      <c r="G645" s="44"/>
    </row>
    <row r="646" spans="1:7" x14ac:dyDescent="0.2">
      <c r="A646" s="43"/>
      <c r="B646" s="43"/>
      <c r="C646" s="43"/>
      <c r="D646" s="43"/>
      <c r="E646" s="43"/>
      <c r="F646" s="43"/>
      <c r="G646" s="43"/>
    </row>
    <row r="647" spans="1:7" x14ac:dyDescent="0.2">
      <c r="A647" s="44"/>
      <c r="B647" s="44"/>
      <c r="C647" s="44"/>
      <c r="D647" s="44"/>
      <c r="E647" s="44"/>
      <c r="F647" s="44"/>
      <c r="G647" s="44"/>
    </row>
    <row r="648" spans="1:7" x14ac:dyDescent="0.2">
      <c r="A648" s="43"/>
      <c r="B648" s="43"/>
      <c r="C648" s="43"/>
      <c r="D648" s="43"/>
      <c r="E648" s="43"/>
      <c r="F648" s="43"/>
      <c r="G648" s="43"/>
    </row>
    <row r="649" spans="1:7" x14ac:dyDescent="0.2">
      <c r="A649" s="44"/>
      <c r="B649" s="44"/>
      <c r="C649" s="44"/>
      <c r="D649" s="44"/>
      <c r="E649" s="44"/>
      <c r="F649" s="44"/>
      <c r="G649" s="44"/>
    </row>
    <row r="650" spans="1:7" x14ac:dyDescent="0.2">
      <c r="A650" s="43"/>
      <c r="B650" s="43"/>
      <c r="C650" s="43"/>
      <c r="D650" s="43"/>
      <c r="E650" s="43"/>
      <c r="F650" s="43"/>
      <c r="G650" s="43"/>
    </row>
    <row r="651" spans="1:7" x14ac:dyDescent="0.2">
      <c r="A651" s="44"/>
      <c r="B651" s="44"/>
      <c r="C651" s="44"/>
      <c r="D651" s="44"/>
      <c r="E651" s="44"/>
      <c r="F651" s="44"/>
      <c r="G651" s="44"/>
    </row>
    <row r="652" spans="1:7" x14ac:dyDescent="0.2">
      <c r="A652" s="43"/>
      <c r="B652" s="43"/>
      <c r="C652" s="43"/>
      <c r="D652" s="43"/>
      <c r="E652" s="43"/>
      <c r="F652" s="43"/>
      <c r="G652" s="43"/>
    </row>
    <row r="653" spans="1:7" x14ac:dyDescent="0.2">
      <c r="A653" s="44"/>
      <c r="B653" s="44"/>
      <c r="C653" s="44"/>
      <c r="D653" s="44"/>
      <c r="E653" s="44"/>
      <c r="F653" s="44"/>
      <c r="G653" s="44"/>
    </row>
    <row r="654" spans="1:7" x14ac:dyDescent="0.2">
      <c r="A654" s="43"/>
      <c r="B654" s="43"/>
      <c r="C654" s="43"/>
      <c r="D654" s="43"/>
      <c r="E654" s="43"/>
      <c r="F654" s="43"/>
      <c r="G654" s="43"/>
    </row>
    <row r="655" spans="1:7" x14ac:dyDescent="0.2">
      <c r="A655" s="44"/>
      <c r="B655" s="44"/>
      <c r="C655" s="44"/>
      <c r="D655" s="44"/>
      <c r="E655" s="44"/>
      <c r="F655" s="44"/>
      <c r="G655" s="44"/>
    </row>
    <row r="656" spans="1:7" x14ac:dyDescent="0.2">
      <c r="A656" s="43"/>
      <c r="B656" s="43"/>
      <c r="C656" s="43"/>
      <c r="D656" s="43"/>
      <c r="E656" s="43"/>
      <c r="F656" s="43"/>
      <c r="G656" s="43"/>
    </row>
    <row r="657" spans="1:7" x14ac:dyDescent="0.2">
      <c r="A657" s="44"/>
      <c r="B657" s="44"/>
      <c r="C657" s="44"/>
      <c r="D657" s="44"/>
      <c r="E657" s="44"/>
      <c r="F657" s="44"/>
      <c r="G657" s="44"/>
    </row>
    <row r="658" spans="1:7" x14ac:dyDescent="0.2">
      <c r="A658" s="43"/>
      <c r="B658" s="43"/>
      <c r="C658" s="43"/>
      <c r="D658" s="43"/>
      <c r="E658" s="43"/>
      <c r="F658" s="43"/>
      <c r="G658" s="43"/>
    </row>
    <row r="659" spans="1:7" x14ac:dyDescent="0.2">
      <c r="A659" s="44"/>
      <c r="B659" s="44"/>
      <c r="C659" s="44"/>
      <c r="D659" s="44"/>
      <c r="E659" s="44"/>
      <c r="F659" s="44"/>
      <c r="G659" s="44"/>
    </row>
    <row r="660" spans="1:7" x14ac:dyDescent="0.2">
      <c r="A660" s="43"/>
      <c r="B660" s="43"/>
      <c r="C660" s="43"/>
      <c r="D660" s="43"/>
      <c r="E660" s="43"/>
      <c r="F660" s="43"/>
      <c r="G660" s="43"/>
    </row>
    <row r="661" spans="1:7" x14ac:dyDescent="0.2">
      <c r="A661" s="44"/>
      <c r="B661" s="44"/>
      <c r="C661" s="44"/>
      <c r="D661" s="44"/>
      <c r="E661" s="44"/>
      <c r="F661" s="44"/>
      <c r="G661" s="44"/>
    </row>
    <row r="662" spans="1:7" x14ac:dyDescent="0.2">
      <c r="A662" s="43"/>
      <c r="B662" s="43"/>
      <c r="C662" s="43"/>
      <c r="D662" s="43"/>
      <c r="E662" s="43"/>
      <c r="F662" s="43"/>
      <c r="G662" s="43"/>
    </row>
    <row r="663" spans="1:7" x14ac:dyDescent="0.2">
      <c r="A663" s="44"/>
      <c r="B663" s="44"/>
      <c r="C663" s="44"/>
      <c r="D663" s="44"/>
      <c r="E663" s="44"/>
      <c r="F663" s="44"/>
      <c r="G663" s="44"/>
    </row>
    <row r="664" spans="1:7" x14ac:dyDescent="0.2">
      <c r="A664" s="43"/>
      <c r="B664" s="43"/>
      <c r="C664" s="43"/>
      <c r="D664" s="43"/>
      <c r="E664" s="43"/>
      <c r="F664" s="43"/>
      <c r="G664" s="43"/>
    </row>
    <row r="665" spans="1:7" x14ac:dyDescent="0.2">
      <c r="A665" s="44"/>
      <c r="B665" s="44"/>
      <c r="C665" s="44"/>
      <c r="D665" s="44"/>
      <c r="E665" s="44"/>
      <c r="F665" s="44"/>
      <c r="G665" s="44"/>
    </row>
    <row r="666" spans="1:7" x14ac:dyDescent="0.2">
      <c r="A666" s="43"/>
      <c r="B666" s="43"/>
      <c r="C666" s="43"/>
      <c r="D666" s="43"/>
      <c r="E666" s="43"/>
      <c r="F666" s="43"/>
      <c r="G666" s="43"/>
    </row>
    <row r="667" spans="1:7" x14ac:dyDescent="0.2">
      <c r="A667" s="44"/>
      <c r="B667" s="44"/>
      <c r="C667" s="44"/>
      <c r="D667" s="44"/>
      <c r="E667" s="44"/>
      <c r="F667" s="44"/>
      <c r="G667" s="44"/>
    </row>
    <row r="668" spans="1:7" x14ac:dyDescent="0.2">
      <c r="A668" s="43"/>
      <c r="B668" s="43"/>
      <c r="C668" s="43"/>
      <c r="D668" s="43"/>
      <c r="E668" s="43"/>
      <c r="F668" s="43"/>
      <c r="G668" s="43"/>
    </row>
    <row r="669" spans="1:7" x14ac:dyDescent="0.2">
      <c r="A669" s="44"/>
      <c r="B669" s="44"/>
      <c r="C669" s="44"/>
      <c r="D669" s="44"/>
      <c r="E669" s="44"/>
      <c r="F669" s="44"/>
      <c r="G669" s="44"/>
    </row>
    <row r="670" spans="1:7" x14ac:dyDescent="0.2">
      <c r="A670" s="43"/>
      <c r="B670" s="43"/>
      <c r="C670" s="43"/>
      <c r="D670" s="43"/>
      <c r="E670" s="43"/>
      <c r="F670" s="43"/>
      <c r="G670" s="43"/>
    </row>
    <row r="671" spans="1:7" x14ac:dyDescent="0.2">
      <c r="A671" s="44"/>
      <c r="B671" s="44"/>
      <c r="C671" s="44"/>
      <c r="D671" s="44"/>
      <c r="E671" s="44"/>
      <c r="F671" s="44"/>
      <c r="G671" s="44"/>
    </row>
    <row r="672" spans="1:7" x14ac:dyDescent="0.2">
      <c r="A672" s="43"/>
      <c r="B672" s="43"/>
      <c r="C672" s="43"/>
      <c r="D672" s="43"/>
      <c r="E672" s="43"/>
      <c r="F672" s="43"/>
      <c r="G672" s="43"/>
    </row>
    <row r="673" spans="1:7" x14ac:dyDescent="0.2">
      <c r="A673" s="44"/>
      <c r="B673" s="44"/>
      <c r="C673" s="44"/>
      <c r="D673" s="44"/>
      <c r="E673" s="44"/>
      <c r="F673" s="44"/>
      <c r="G673" s="44"/>
    </row>
    <row r="674" spans="1:7" x14ac:dyDescent="0.2">
      <c r="A674" s="43"/>
      <c r="B674" s="43"/>
      <c r="C674" s="43"/>
      <c r="D674" s="43"/>
      <c r="E674" s="43"/>
      <c r="F674" s="43"/>
      <c r="G674" s="43"/>
    </row>
    <row r="675" spans="1:7" x14ac:dyDescent="0.2">
      <c r="A675" s="44"/>
      <c r="B675" s="44"/>
      <c r="C675" s="44"/>
      <c r="D675" s="44"/>
      <c r="E675" s="44"/>
      <c r="F675" s="44"/>
      <c r="G675" s="44"/>
    </row>
    <row r="676" spans="1:7" x14ac:dyDescent="0.2">
      <c r="A676" s="43"/>
      <c r="B676" s="43"/>
      <c r="C676" s="43"/>
      <c r="D676" s="43"/>
      <c r="E676" s="43"/>
      <c r="F676" s="43"/>
      <c r="G676" s="43"/>
    </row>
    <row r="677" spans="1:7" x14ac:dyDescent="0.2">
      <c r="A677" s="44"/>
      <c r="B677" s="44"/>
      <c r="C677" s="44"/>
      <c r="D677" s="44"/>
      <c r="E677" s="44"/>
      <c r="F677" s="44"/>
      <c r="G677" s="44"/>
    </row>
    <row r="678" spans="1:7" x14ac:dyDescent="0.2">
      <c r="A678" s="43"/>
      <c r="B678" s="43"/>
      <c r="C678" s="43"/>
      <c r="D678" s="43"/>
      <c r="E678" s="43"/>
      <c r="F678" s="43"/>
      <c r="G678" s="43"/>
    </row>
    <row r="679" spans="1:7" x14ac:dyDescent="0.2">
      <c r="A679" s="44"/>
      <c r="B679" s="44"/>
      <c r="C679" s="44"/>
      <c r="D679" s="44"/>
      <c r="E679" s="44"/>
      <c r="F679" s="44"/>
      <c r="G679" s="44"/>
    </row>
    <row r="680" spans="1:7" x14ac:dyDescent="0.2">
      <c r="A680" s="43"/>
      <c r="B680" s="43"/>
      <c r="C680" s="43"/>
      <c r="D680" s="43"/>
      <c r="E680" s="43"/>
      <c r="F680" s="43"/>
      <c r="G680" s="43"/>
    </row>
    <row r="681" spans="1:7" x14ac:dyDescent="0.2">
      <c r="A681" s="44"/>
      <c r="B681" s="44"/>
      <c r="C681" s="44"/>
      <c r="D681" s="44"/>
      <c r="E681" s="44"/>
      <c r="F681" s="44"/>
      <c r="G681" s="44"/>
    </row>
    <row r="682" spans="1:7" x14ac:dyDescent="0.2">
      <c r="A682" s="43"/>
      <c r="B682" s="43"/>
      <c r="C682" s="43"/>
      <c r="D682" s="43"/>
      <c r="E682" s="43"/>
      <c r="F682" s="43"/>
      <c r="G682" s="43"/>
    </row>
    <row r="683" spans="1:7" x14ac:dyDescent="0.2">
      <c r="A683" s="44"/>
      <c r="B683" s="44"/>
      <c r="C683" s="44"/>
      <c r="D683" s="44"/>
      <c r="E683" s="44"/>
      <c r="F683" s="44"/>
      <c r="G683" s="44"/>
    </row>
    <row r="684" spans="1:7" x14ac:dyDescent="0.2">
      <c r="A684" s="43"/>
      <c r="B684" s="43"/>
      <c r="C684" s="43"/>
      <c r="D684" s="43"/>
      <c r="E684" s="43"/>
      <c r="F684" s="43"/>
      <c r="G684" s="43"/>
    </row>
    <row r="685" spans="1:7" x14ac:dyDescent="0.2">
      <c r="A685" s="44"/>
      <c r="B685" s="44"/>
      <c r="C685" s="44"/>
      <c r="D685" s="44"/>
      <c r="E685" s="44"/>
      <c r="F685" s="44"/>
      <c r="G685" s="44"/>
    </row>
    <row r="686" spans="1:7" x14ac:dyDescent="0.2">
      <c r="A686" s="43"/>
      <c r="B686" s="43"/>
      <c r="C686" s="43"/>
      <c r="D686" s="43"/>
      <c r="E686" s="43"/>
      <c r="F686" s="43"/>
      <c r="G686" s="43"/>
    </row>
    <row r="687" spans="1:7" x14ac:dyDescent="0.2">
      <c r="A687" s="44"/>
      <c r="B687" s="44"/>
      <c r="C687" s="44"/>
      <c r="D687" s="44"/>
      <c r="E687" s="44"/>
      <c r="F687" s="44"/>
      <c r="G687" s="44"/>
    </row>
    <row r="688" spans="1:7" x14ac:dyDescent="0.2">
      <c r="A688" s="43"/>
      <c r="B688" s="43"/>
      <c r="C688" s="43"/>
      <c r="D688" s="43"/>
      <c r="E688" s="43"/>
      <c r="F688" s="43"/>
      <c r="G688" s="43"/>
    </row>
    <row r="689" spans="1:7" x14ac:dyDescent="0.2">
      <c r="A689" s="44"/>
      <c r="B689" s="44"/>
      <c r="C689" s="44"/>
      <c r="D689" s="44"/>
      <c r="E689" s="44"/>
      <c r="F689" s="44"/>
      <c r="G689" s="44"/>
    </row>
    <row r="690" spans="1:7" x14ac:dyDescent="0.2">
      <c r="A690" s="43"/>
      <c r="B690" s="43"/>
      <c r="C690" s="43"/>
      <c r="D690" s="43"/>
      <c r="E690" s="43"/>
      <c r="F690" s="43"/>
      <c r="G690" s="43"/>
    </row>
    <row r="691" spans="1:7" x14ac:dyDescent="0.2">
      <c r="A691" s="44"/>
      <c r="B691" s="44"/>
      <c r="C691" s="44"/>
      <c r="D691" s="44"/>
      <c r="E691" s="44"/>
      <c r="F691" s="44"/>
      <c r="G691" s="44"/>
    </row>
    <row r="692" spans="1:7" x14ac:dyDescent="0.2">
      <c r="A692" s="43"/>
      <c r="B692" s="43"/>
      <c r="C692" s="43"/>
      <c r="D692" s="43"/>
      <c r="E692" s="43"/>
      <c r="F692" s="43"/>
      <c r="G692" s="43"/>
    </row>
    <row r="693" spans="1:7" x14ac:dyDescent="0.2">
      <c r="A693" s="44"/>
      <c r="B693" s="44"/>
      <c r="C693" s="44"/>
      <c r="D693" s="44"/>
      <c r="E693" s="44"/>
      <c r="F693" s="44"/>
      <c r="G693" s="44"/>
    </row>
    <row r="694" spans="1:7" x14ac:dyDescent="0.2">
      <c r="A694" s="43"/>
      <c r="B694" s="43"/>
      <c r="C694" s="43"/>
      <c r="D694" s="43"/>
      <c r="E694" s="43"/>
      <c r="F694" s="43"/>
      <c r="G694" s="43"/>
    </row>
    <row r="695" spans="1:7" x14ac:dyDescent="0.2">
      <c r="A695" s="44"/>
      <c r="B695" s="44"/>
      <c r="C695" s="44"/>
      <c r="D695" s="44"/>
      <c r="E695" s="44"/>
      <c r="F695" s="44"/>
      <c r="G695" s="44"/>
    </row>
    <row r="696" spans="1:7" x14ac:dyDescent="0.2">
      <c r="A696" s="43"/>
      <c r="B696" s="43"/>
      <c r="C696" s="43"/>
      <c r="D696" s="43"/>
      <c r="E696" s="43"/>
      <c r="F696" s="43"/>
      <c r="G696" s="43"/>
    </row>
    <row r="697" spans="1:7" x14ac:dyDescent="0.2">
      <c r="A697" s="44"/>
      <c r="B697" s="44"/>
      <c r="C697" s="44"/>
      <c r="D697" s="44"/>
      <c r="E697" s="44"/>
      <c r="F697" s="44"/>
      <c r="G697" s="44"/>
    </row>
    <row r="698" spans="1:7" x14ac:dyDescent="0.2">
      <c r="A698" s="43"/>
      <c r="B698" s="43"/>
      <c r="C698" s="43"/>
      <c r="D698" s="43"/>
      <c r="E698" s="43"/>
      <c r="F698" s="43"/>
      <c r="G698" s="43"/>
    </row>
    <row r="699" spans="1:7" x14ac:dyDescent="0.2">
      <c r="A699" s="44"/>
      <c r="B699" s="44"/>
      <c r="C699" s="44"/>
      <c r="D699" s="44"/>
      <c r="E699" s="44"/>
      <c r="F699" s="44"/>
      <c r="G699" s="44"/>
    </row>
    <row r="700" spans="1:7" x14ac:dyDescent="0.2">
      <c r="A700" s="43"/>
      <c r="B700" s="43"/>
      <c r="C700" s="43"/>
      <c r="D700" s="43"/>
      <c r="E700" s="43"/>
      <c r="F700" s="43"/>
      <c r="G700" s="43"/>
    </row>
    <row r="701" spans="1:7" x14ac:dyDescent="0.2">
      <c r="A701" s="44"/>
      <c r="B701" s="44"/>
      <c r="C701" s="44"/>
      <c r="D701" s="44"/>
      <c r="E701" s="44"/>
      <c r="F701" s="44"/>
      <c r="G701" s="44"/>
    </row>
    <row r="702" spans="1:7" x14ac:dyDescent="0.2">
      <c r="A702" s="43"/>
      <c r="B702" s="43"/>
      <c r="C702" s="43"/>
      <c r="D702" s="43"/>
      <c r="E702" s="43"/>
      <c r="F702" s="43"/>
      <c r="G702" s="43"/>
    </row>
    <row r="703" spans="1:7" x14ac:dyDescent="0.2">
      <c r="A703" s="44"/>
      <c r="B703" s="44"/>
      <c r="C703" s="44"/>
      <c r="D703" s="44"/>
      <c r="E703" s="44"/>
      <c r="F703" s="44"/>
      <c r="G703" s="44"/>
    </row>
    <row r="704" spans="1:7" x14ac:dyDescent="0.2">
      <c r="A704" s="43"/>
      <c r="B704" s="43"/>
      <c r="C704" s="43"/>
      <c r="D704" s="43"/>
      <c r="E704" s="43"/>
      <c r="F704" s="43"/>
      <c r="G704" s="43"/>
    </row>
    <row r="705" spans="1:7" x14ac:dyDescent="0.2">
      <c r="A705" s="44"/>
      <c r="B705" s="44"/>
      <c r="C705" s="44"/>
      <c r="D705" s="44"/>
      <c r="E705" s="44"/>
      <c r="F705" s="44"/>
      <c r="G705" s="44"/>
    </row>
    <row r="706" spans="1:7" x14ac:dyDescent="0.2">
      <c r="A706" s="43"/>
      <c r="B706" s="43"/>
      <c r="C706" s="43"/>
      <c r="D706" s="43"/>
      <c r="E706" s="43"/>
      <c r="F706" s="43"/>
      <c r="G706" s="43"/>
    </row>
    <row r="707" spans="1:7" x14ac:dyDescent="0.2">
      <c r="A707" s="44"/>
      <c r="B707" s="44"/>
      <c r="C707" s="44"/>
      <c r="D707" s="44"/>
      <c r="E707" s="44"/>
      <c r="F707" s="44"/>
      <c r="G707" s="44"/>
    </row>
    <row r="708" spans="1:7" x14ac:dyDescent="0.2">
      <c r="A708" s="43"/>
      <c r="B708" s="43"/>
      <c r="C708" s="43"/>
      <c r="D708" s="43"/>
      <c r="E708" s="43"/>
      <c r="F708" s="43"/>
      <c r="G708" s="43"/>
    </row>
    <row r="709" spans="1:7" x14ac:dyDescent="0.2">
      <c r="A709" s="44"/>
      <c r="B709" s="44"/>
      <c r="C709" s="44"/>
      <c r="D709" s="44"/>
      <c r="E709" s="44"/>
      <c r="F709" s="44"/>
      <c r="G709" s="44"/>
    </row>
    <row r="710" spans="1:7" x14ac:dyDescent="0.2">
      <c r="A710" s="43"/>
      <c r="B710" s="43"/>
      <c r="C710" s="43"/>
      <c r="D710" s="43"/>
      <c r="E710" s="43"/>
      <c r="F710" s="43"/>
      <c r="G710" s="43"/>
    </row>
    <row r="711" spans="1:7" x14ac:dyDescent="0.2">
      <c r="A711" s="44"/>
      <c r="B711" s="44"/>
      <c r="C711" s="44"/>
      <c r="D711" s="44"/>
      <c r="E711" s="44"/>
      <c r="F711" s="44"/>
      <c r="G711" s="44"/>
    </row>
    <row r="712" spans="1:7" x14ac:dyDescent="0.2">
      <c r="A712" s="43"/>
      <c r="B712" s="43"/>
      <c r="C712" s="43"/>
      <c r="D712" s="43"/>
      <c r="E712" s="43"/>
      <c r="F712" s="43"/>
      <c r="G712" s="43"/>
    </row>
    <row r="713" spans="1:7" x14ac:dyDescent="0.2">
      <c r="A713" s="44"/>
      <c r="B713" s="44"/>
      <c r="C713" s="44"/>
      <c r="D713" s="44"/>
      <c r="E713" s="44"/>
      <c r="F713" s="44"/>
      <c r="G713" s="44"/>
    </row>
    <row r="714" spans="1:7" x14ac:dyDescent="0.2">
      <c r="A714" s="43"/>
      <c r="B714" s="43"/>
      <c r="C714" s="43"/>
      <c r="D714" s="43"/>
      <c r="E714" s="43"/>
      <c r="F714" s="43"/>
      <c r="G714" s="43"/>
    </row>
    <row r="715" spans="1:7" x14ac:dyDescent="0.2">
      <c r="A715" s="44"/>
      <c r="B715" s="44"/>
      <c r="C715" s="44"/>
      <c r="D715" s="44"/>
      <c r="E715" s="44"/>
      <c r="F715" s="44"/>
      <c r="G715" s="44"/>
    </row>
    <row r="716" spans="1:7" x14ac:dyDescent="0.2">
      <c r="A716" s="43"/>
      <c r="B716" s="43"/>
      <c r="C716" s="43"/>
      <c r="D716" s="43"/>
      <c r="E716" s="43"/>
      <c r="F716" s="43"/>
      <c r="G716" s="43"/>
    </row>
    <row r="717" spans="1:7" x14ac:dyDescent="0.2">
      <c r="A717" s="44"/>
      <c r="B717" s="44"/>
      <c r="C717" s="44"/>
      <c r="D717" s="44"/>
      <c r="E717" s="44"/>
      <c r="F717" s="44"/>
      <c r="G717" s="44"/>
    </row>
    <row r="718" spans="1:7" x14ac:dyDescent="0.2">
      <c r="A718" s="43"/>
      <c r="B718" s="43"/>
      <c r="C718" s="43"/>
      <c r="D718" s="43"/>
      <c r="E718" s="43"/>
      <c r="F718" s="43"/>
      <c r="G718" s="43"/>
    </row>
    <row r="719" spans="1:7" x14ac:dyDescent="0.2">
      <c r="A719" s="44"/>
      <c r="B719" s="44"/>
      <c r="C719" s="44"/>
      <c r="D719" s="44"/>
      <c r="E719" s="44"/>
      <c r="F719" s="44"/>
      <c r="G719" s="44"/>
    </row>
    <row r="720" spans="1:7" x14ac:dyDescent="0.2">
      <c r="A720" s="43"/>
      <c r="B720" s="43"/>
      <c r="C720" s="43"/>
      <c r="D720" s="43"/>
      <c r="E720" s="43"/>
      <c r="F720" s="43"/>
      <c r="G720" s="43"/>
    </row>
    <row r="721" spans="1:7" x14ac:dyDescent="0.2">
      <c r="A721" s="44"/>
      <c r="B721" s="44"/>
      <c r="C721" s="44"/>
      <c r="D721" s="44"/>
      <c r="E721" s="44"/>
      <c r="F721" s="44"/>
      <c r="G721" s="44"/>
    </row>
    <row r="722" spans="1:7" x14ac:dyDescent="0.2">
      <c r="A722" s="43"/>
      <c r="B722" s="43"/>
      <c r="C722" s="43"/>
      <c r="D722" s="43"/>
      <c r="E722" s="43"/>
      <c r="F722" s="43"/>
      <c r="G722" s="43"/>
    </row>
    <row r="723" spans="1:7" x14ac:dyDescent="0.2">
      <c r="A723" s="44"/>
      <c r="B723" s="44"/>
      <c r="C723" s="44"/>
      <c r="D723" s="44"/>
      <c r="E723" s="44"/>
      <c r="F723" s="44"/>
      <c r="G723" s="44"/>
    </row>
    <row r="724" spans="1:7" x14ac:dyDescent="0.2">
      <c r="A724" s="43"/>
      <c r="B724" s="43"/>
      <c r="C724" s="43"/>
      <c r="D724" s="43"/>
      <c r="E724" s="43"/>
      <c r="F724" s="43"/>
      <c r="G724" s="43"/>
    </row>
    <row r="725" spans="1:7" x14ac:dyDescent="0.2">
      <c r="A725" s="44"/>
      <c r="B725" s="44"/>
      <c r="C725" s="44"/>
      <c r="D725" s="44"/>
      <c r="E725" s="44"/>
      <c r="F725" s="44"/>
      <c r="G725" s="44"/>
    </row>
    <row r="726" spans="1:7" x14ac:dyDescent="0.2">
      <c r="A726" s="43"/>
      <c r="B726" s="43"/>
      <c r="C726" s="43"/>
      <c r="D726" s="43"/>
      <c r="E726" s="43"/>
      <c r="F726" s="43"/>
      <c r="G726" s="43"/>
    </row>
    <row r="727" spans="1:7" x14ac:dyDescent="0.2">
      <c r="A727" s="44"/>
      <c r="B727" s="44"/>
      <c r="C727" s="44"/>
      <c r="D727" s="44"/>
      <c r="E727" s="44"/>
      <c r="F727" s="44"/>
      <c r="G727" s="44"/>
    </row>
    <row r="728" spans="1:7" x14ac:dyDescent="0.2">
      <c r="A728" s="43"/>
      <c r="B728" s="43"/>
      <c r="C728" s="43"/>
      <c r="D728" s="43"/>
      <c r="E728" s="43"/>
      <c r="F728" s="43"/>
      <c r="G728" s="43"/>
    </row>
    <row r="729" spans="1:7" x14ac:dyDescent="0.2">
      <c r="A729" s="44"/>
      <c r="B729" s="44"/>
      <c r="C729" s="44"/>
      <c r="D729" s="44"/>
      <c r="E729" s="44"/>
      <c r="F729" s="44"/>
      <c r="G729" s="44"/>
    </row>
    <row r="730" spans="1:7" x14ac:dyDescent="0.2">
      <c r="A730" s="43"/>
      <c r="B730" s="43"/>
      <c r="C730" s="43"/>
      <c r="D730" s="43"/>
      <c r="E730" s="43"/>
      <c r="F730" s="43"/>
      <c r="G730" s="43"/>
    </row>
    <row r="731" spans="1:7" x14ac:dyDescent="0.2">
      <c r="A731" s="44"/>
      <c r="B731" s="44"/>
      <c r="C731" s="44"/>
      <c r="D731" s="44"/>
      <c r="E731" s="44"/>
      <c r="F731" s="44"/>
      <c r="G731" s="44"/>
    </row>
    <row r="732" spans="1:7" x14ac:dyDescent="0.2">
      <c r="A732" s="43"/>
      <c r="B732" s="43"/>
      <c r="C732" s="43"/>
      <c r="D732" s="43"/>
      <c r="E732" s="43"/>
      <c r="F732" s="43"/>
      <c r="G732" s="43"/>
    </row>
    <row r="733" spans="1:7" x14ac:dyDescent="0.2">
      <c r="A733" s="44"/>
      <c r="B733" s="44"/>
      <c r="C733" s="44"/>
      <c r="D733" s="44"/>
      <c r="E733" s="44"/>
      <c r="F733" s="44"/>
      <c r="G733" s="44"/>
    </row>
    <row r="734" spans="1:7" x14ac:dyDescent="0.2">
      <c r="A734" s="43"/>
      <c r="B734" s="43"/>
      <c r="C734" s="43"/>
      <c r="D734" s="43"/>
      <c r="E734" s="43"/>
      <c r="F734" s="43"/>
      <c r="G734" s="43"/>
    </row>
    <row r="735" spans="1:7" x14ac:dyDescent="0.2">
      <c r="A735" s="44"/>
      <c r="B735" s="44"/>
      <c r="C735" s="44"/>
      <c r="D735" s="44"/>
      <c r="E735" s="44"/>
      <c r="F735" s="44"/>
      <c r="G735" s="44"/>
    </row>
    <row r="736" spans="1:7" x14ac:dyDescent="0.2">
      <c r="A736" s="43"/>
      <c r="B736" s="43"/>
      <c r="C736" s="43"/>
      <c r="D736" s="43"/>
      <c r="E736" s="43"/>
      <c r="F736" s="43"/>
      <c r="G736" s="43"/>
    </row>
    <row r="737" spans="1:7" x14ac:dyDescent="0.2">
      <c r="A737" s="44"/>
      <c r="B737" s="44"/>
      <c r="C737" s="44"/>
      <c r="D737" s="44"/>
      <c r="E737" s="44"/>
      <c r="F737" s="44"/>
      <c r="G737" s="44"/>
    </row>
    <row r="738" spans="1:7" x14ac:dyDescent="0.2">
      <c r="A738" s="43"/>
      <c r="B738" s="43"/>
      <c r="C738" s="43"/>
      <c r="D738" s="43"/>
      <c r="E738" s="43"/>
      <c r="F738" s="43"/>
      <c r="G738" s="43"/>
    </row>
    <row r="739" spans="1:7" x14ac:dyDescent="0.2">
      <c r="A739" s="44"/>
      <c r="B739" s="44"/>
      <c r="C739" s="44"/>
      <c r="D739" s="44"/>
      <c r="E739" s="44"/>
      <c r="F739" s="44"/>
      <c r="G739" s="44"/>
    </row>
    <row r="740" spans="1:7" x14ac:dyDescent="0.2">
      <c r="A740" s="43"/>
      <c r="B740" s="43"/>
      <c r="C740" s="43"/>
      <c r="D740" s="43"/>
      <c r="E740" s="43"/>
      <c r="F740" s="43"/>
      <c r="G740" s="43"/>
    </row>
    <row r="741" spans="1:7" x14ac:dyDescent="0.2">
      <c r="A741" s="44"/>
      <c r="B741" s="44"/>
      <c r="C741" s="44"/>
      <c r="D741" s="44"/>
      <c r="E741" s="44"/>
      <c r="F741" s="44"/>
      <c r="G741" s="44"/>
    </row>
    <row r="742" spans="1:7" x14ac:dyDescent="0.2">
      <c r="A742" s="43"/>
      <c r="B742" s="43"/>
      <c r="C742" s="43"/>
      <c r="D742" s="43"/>
      <c r="E742" s="43"/>
      <c r="F742" s="43"/>
      <c r="G742" s="43"/>
    </row>
    <row r="743" spans="1:7" x14ac:dyDescent="0.2">
      <c r="A743" s="44"/>
      <c r="B743" s="44"/>
      <c r="C743" s="44"/>
      <c r="D743" s="44"/>
      <c r="E743" s="44"/>
      <c r="F743" s="44"/>
      <c r="G743" s="44"/>
    </row>
    <row r="744" spans="1:7" x14ac:dyDescent="0.2">
      <c r="A744" s="43"/>
      <c r="B744" s="43"/>
      <c r="C744" s="43"/>
      <c r="D744" s="43"/>
      <c r="E744" s="43"/>
      <c r="F744" s="43"/>
      <c r="G744" s="43"/>
    </row>
    <row r="745" spans="1:7" x14ac:dyDescent="0.2">
      <c r="A745" s="44"/>
      <c r="B745" s="44"/>
      <c r="C745" s="44"/>
      <c r="D745" s="44"/>
      <c r="E745" s="44"/>
      <c r="F745" s="44"/>
      <c r="G745" s="44"/>
    </row>
    <row r="746" spans="1:7" x14ac:dyDescent="0.2">
      <c r="A746" s="43"/>
      <c r="B746" s="43"/>
      <c r="C746" s="43"/>
      <c r="D746" s="43"/>
      <c r="E746" s="43"/>
      <c r="F746" s="43"/>
      <c r="G746" s="43"/>
    </row>
    <row r="747" spans="1:7" x14ac:dyDescent="0.2">
      <c r="A747" s="44"/>
      <c r="B747" s="44"/>
      <c r="C747" s="44"/>
      <c r="D747" s="44"/>
      <c r="E747" s="44"/>
      <c r="F747" s="44"/>
      <c r="G747" s="44"/>
    </row>
    <row r="748" spans="1:7" x14ac:dyDescent="0.2">
      <c r="A748" s="43"/>
      <c r="B748" s="43"/>
      <c r="C748" s="43"/>
      <c r="D748" s="43"/>
      <c r="E748" s="43"/>
      <c r="F748" s="43"/>
      <c r="G748" s="43"/>
    </row>
    <row r="749" spans="1:7" x14ac:dyDescent="0.2">
      <c r="A749" s="44"/>
      <c r="B749" s="44"/>
      <c r="C749" s="44"/>
      <c r="D749" s="44"/>
      <c r="E749" s="44"/>
      <c r="F749" s="44"/>
      <c r="G749" s="44"/>
    </row>
    <row r="750" spans="1:7" x14ac:dyDescent="0.2">
      <c r="A750" s="43"/>
      <c r="B750" s="43"/>
      <c r="C750" s="43"/>
      <c r="D750" s="43"/>
      <c r="E750" s="43"/>
      <c r="F750" s="43"/>
      <c r="G750" s="43"/>
    </row>
    <row r="751" spans="1:7" x14ac:dyDescent="0.2">
      <c r="A751" s="44"/>
      <c r="B751" s="44"/>
      <c r="C751" s="44"/>
      <c r="D751" s="44"/>
      <c r="E751" s="44"/>
      <c r="F751" s="44"/>
      <c r="G751" s="44"/>
    </row>
    <row r="752" spans="1:7" x14ac:dyDescent="0.2">
      <c r="A752" s="43"/>
      <c r="B752" s="43"/>
      <c r="C752" s="43"/>
      <c r="D752" s="43"/>
      <c r="E752" s="43"/>
      <c r="F752" s="43"/>
      <c r="G752" s="43"/>
    </row>
    <row r="753" spans="1:7" x14ac:dyDescent="0.2">
      <c r="A753" s="44"/>
      <c r="B753" s="44"/>
      <c r="C753" s="44"/>
      <c r="D753" s="44"/>
      <c r="E753" s="44"/>
      <c r="F753" s="44"/>
      <c r="G753" s="44"/>
    </row>
    <row r="754" spans="1:7" x14ac:dyDescent="0.2">
      <c r="A754" s="43"/>
      <c r="B754" s="43"/>
      <c r="C754" s="43"/>
      <c r="D754" s="43"/>
      <c r="E754" s="43"/>
      <c r="F754" s="43"/>
      <c r="G754" s="43"/>
    </row>
    <row r="755" spans="1:7" x14ac:dyDescent="0.2">
      <c r="A755" s="44"/>
      <c r="B755" s="44"/>
      <c r="C755" s="44"/>
      <c r="D755" s="44"/>
      <c r="E755" s="44"/>
      <c r="F755" s="44"/>
      <c r="G755" s="44"/>
    </row>
    <row r="756" spans="1:7" x14ac:dyDescent="0.2">
      <c r="A756" s="43"/>
      <c r="B756" s="43"/>
      <c r="C756" s="43"/>
      <c r="D756" s="43"/>
      <c r="E756" s="43"/>
      <c r="F756" s="43"/>
      <c r="G756" s="43"/>
    </row>
    <row r="757" spans="1:7" x14ac:dyDescent="0.2">
      <c r="A757" s="44"/>
      <c r="B757" s="44"/>
      <c r="C757" s="44"/>
      <c r="D757" s="44"/>
      <c r="E757" s="44"/>
      <c r="F757" s="44"/>
      <c r="G757" s="44"/>
    </row>
    <row r="758" spans="1:7" x14ac:dyDescent="0.2">
      <c r="A758" s="43"/>
      <c r="B758" s="43"/>
      <c r="C758" s="43"/>
      <c r="D758" s="43"/>
      <c r="E758" s="43"/>
      <c r="F758" s="43"/>
      <c r="G758" s="43"/>
    </row>
    <row r="759" spans="1:7" x14ac:dyDescent="0.2">
      <c r="A759" s="44"/>
      <c r="B759" s="44"/>
      <c r="C759" s="44"/>
      <c r="D759" s="44"/>
      <c r="E759" s="44"/>
      <c r="F759" s="44"/>
      <c r="G759" s="44"/>
    </row>
    <row r="760" spans="1:7" x14ac:dyDescent="0.2">
      <c r="A760" s="43"/>
      <c r="B760" s="43"/>
      <c r="C760" s="43"/>
      <c r="D760" s="43"/>
      <c r="E760" s="43"/>
      <c r="F760" s="43"/>
      <c r="G760" s="43"/>
    </row>
    <row r="761" spans="1:7" x14ac:dyDescent="0.2">
      <c r="A761" s="44"/>
      <c r="B761" s="44"/>
      <c r="C761" s="44"/>
      <c r="D761" s="44"/>
      <c r="E761" s="44"/>
      <c r="F761" s="44"/>
      <c r="G761" s="44"/>
    </row>
    <row r="762" spans="1:7" x14ac:dyDescent="0.2">
      <c r="A762" s="43"/>
      <c r="B762" s="43"/>
      <c r="C762" s="43"/>
      <c r="D762" s="43"/>
      <c r="E762" s="43"/>
      <c r="F762" s="43"/>
      <c r="G762" s="43"/>
    </row>
    <row r="763" spans="1:7" x14ac:dyDescent="0.2">
      <c r="A763" s="44"/>
      <c r="B763" s="44"/>
      <c r="C763" s="44"/>
      <c r="D763" s="44"/>
      <c r="E763" s="44"/>
      <c r="F763" s="44"/>
      <c r="G763" s="44"/>
    </row>
    <row r="764" spans="1:7" x14ac:dyDescent="0.2">
      <c r="A764" s="43"/>
      <c r="B764" s="43"/>
      <c r="C764" s="43"/>
      <c r="D764" s="43"/>
      <c r="E764" s="43"/>
      <c r="F764" s="43"/>
      <c r="G764" s="43"/>
    </row>
    <row r="765" spans="1:7" x14ac:dyDescent="0.2">
      <c r="A765" s="44"/>
      <c r="B765" s="44"/>
      <c r="C765" s="44"/>
      <c r="D765" s="44"/>
      <c r="E765" s="44"/>
      <c r="F765" s="44"/>
      <c r="G765" s="44"/>
    </row>
    <row r="766" spans="1:7" x14ac:dyDescent="0.2">
      <c r="A766" s="43"/>
      <c r="B766" s="43"/>
      <c r="C766" s="43"/>
      <c r="D766" s="43"/>
      <c r="E766" s="43"/>
      <c r="F766" s="43"/>
      <c r="G766" s="43"/>
    </row>
    <row r="767" spans="1:7" x14ac:dyDescent="0.2">
      <c r="A767" s="44"/>
      <c r="B767" s="44"/>
      <c r="C767" s="44"/>
      <c r="D767" s="44"/>
      <c r="E767" s="44"/>
      <c r="F767" s="44"/>
      <c r="G767" s="44"/>
    </row>
    <row r="768" spans="1:7" x14ac:dyDescent="0.2">
      <c r="A768" s="43"/>
      <c r="B768" s="43"/>
      <c r="C768" s="43"/>
      <c r="D768" s="43"/>
      <c r="E768" s="43"/>
      <c r="F768" s="43"/>
      <c r="G768" s="43"/>
    </row>
    <row r="769" spans="1:7" x14ac:dyDescent="0.2">
      <c r="A769" s="44"/>
      <c r="B769" s="44"/>
      <c r="C769" s="44"/>
      <c r="D769" s="44"/>
      <c r="E769" s="44"/>
      <c r="F769" s="44"/>
      <c r="G769" s="44"/>
    </row>
    <row r="770" spans="1:7" x14ac:dyDescent="0.2">
      <c r="A770" s="43"/>
      <c r="B770" s="43"/>
      <c r="C770" s="43"/>
      <c r="D770" s="43"/>
      <c r="E770" s="43"/>
      <c r="F770" s="43"/>
      <c r="G770" s="43"/>
    </row>
    <row r="771" spans="1:7" x14ac:dyDescent="0.2">
      <c r="A771" s="44"/>
      <c r="B771" s="44"/>
      <c r="C771" s="44"/>
      <c r="D771" s="44"/>
      <c r="E771" s="44"/>
      <c r="F771" s="44"/>
      <c r="G771" s="44"/>
    </row>
    <row r="772" spans="1:7" x14ac:dyDescent="0.2">
      <c r="A772" s="43"/>
      <c r="B772" s="43"/>
      <c r="C772" s="43"/>
      <c r="D772" s="43"/>
      <c r="E772" s="43"/>
      <c r="F772" s="43"/>
      <c r="G772" s="43"/>
    </row>
    <row r="773" spans="1:7" x14ac:dyDescent="0.2">
      <c r="A773" s="44"/>
      <c r="B773" s="44"/>
      <c r="C773" s="44"/>
      <c r="D773" s="44"/>
      <c r="E773" s="44"/>
      <c r="F773" s="44"/>
      <c r="G773" s="44"/>
    </row>
    <row r="774" spans="1:7" x14ac:dyDescent="0.2">
      <c r="A774" s="43"/>
      <c r="B774" s="43"/>
      <c r="C774" s="43"/>
      <c r="D774" s="43"/>
      <c r="E774" s="43"/>
      <c r="F774" s="43"/>
      <c r="G774" s="43"/>
    </row>
    <row r="775" spans="1:7" x14ac:dyDescent="0.2">
      <c r="A775" s="44"/>
      <c r="B775" s="44"/>
      <c r="C775" s="44"/>
      <c r="D775" s="44"/>
      <c r="E775" s="44"/>
      <c r="F775" s="44"/>
      <c r="G775" s="44"/>
    </row>
    <row r="776" spans="1:7" x14ac:dyDescent="0.2">
      <c r="A776" s="43"/>
      <c r="B776" s="43"/>
      <c r="C776" s="43"/>
      <c r="D776" s="43"/>
      <c r="E776" s="43"/>
      <c r="F776" s="43"/>
      <c r="G776" s="43"/>
    </row>
    <row r="777" spans="1:7" x14ac:dyDescent="0.2">
      <c r="A777" s="44"/>
      <c r="B777" s="44"/>
      <c r="C777" s="44"/>
      <c r="D777" s="44"/>
      <c r="E777" s="44"/>
      <c r="F777" s="44"/>
      <c r="G777" s="44"/>
    </row>
    <row r="778" spans="1:7" x14ac:dyDescent="0.2">
      <c r="A778" s="43"/>
      <c r="B778" s="43"/>
      <c r="C778" s="43"/>
      <c r="D778" s="43"/>
      <c r="E778" s="43"/>
      <c r="F778" s="43"/>
      <c r="G778" s="43"/>
    </row>
    <row r="779" spans="1:7" x14ac:dyDescent="0.2">
      <c r="A779" s="44"/>
      <c r="B779" s="44"/>
      <c r="C779" s="44"/>
      <c r="D779" s="44"/>
      <c r="E779" s="44"/>
      <c r="F779" s="44"/>
      <c r="G779" s="44"/>
    </row>
    <row r="780" spans="1:7" x14ac:dyDescent="0.2">
      <c r="A780" s="43"/>
      <c r="B780" s="43"/>
      <c r="C780" s="43"/>
      <c r="D780" s="43"/>
      <c r="E780" s="43"/>
      <c r="F780" s="43"/>
      <c r="G780" s="43"/>
    </row>
    <row r="781" spans="1:7" x14ac:dyDescent="0.2">
      <c r="A781" s="44"/>
      <c r="B781" s="44"/>
      <c r="C781" s="44"/>
      <c r="D781" s="44"/>
      <c r="E781" s="44"/>
      <c r="F781" s="44"/>
      <c r="G781" s="44"/>
    </row>
    <row r="782" spans="1:7" x14ac:dyDescent="0.2">
      <c r="A782" s="43"/>
      <c r="B782" s="43"/>
      <c r="C782" s="43"/>
      <c r="D782" s="43"/>
      <c r="E782" s="43"/>
      <c r="F782" s="43"/>
      <c r="G782" s="43"/>
    </row>
    <row r="783" spans="1:7" x14ac:dyDescent="0.2">
      <c r="A783" s="44"/>
      <c r="B783" s="44"/>
      <c r="C783" s="44"/>
      <c r="D783" s="44"/>
      <c r="E783" s="44"/>
      <c r="F783" s="44"/>
      <c r="G783" s="44"/>
    </row>
    <row r="784" spans="1:7" x14ac:dyDescent="0.2">
      <c r="A784" s="43"/>
      <c r="B784" s="43"/>
      <c r="C784" s="43"/>
      <c r="D784" s="43"/>
      <c r="E784" s="43"/>
      <c r="F784" s="43"/>
      <c r="G784" s="43"/>
    </row>
    <row r="785" spans="1:7" x14ac:dyDescent="0.2">
      <c r="A785" s="44"/>
      <c r="B785" s="44"/>
      <c r="C785" s="44"/>
      <c r="D785" s="44"/>
      <c r="E785" s="44"/>
      <c r="F785" s="44"/>
      <c r="G785" s="44"/>
    </row>
    <row r="786" spans="1:7" x14ac:dyDescent="0.2">
      <c r="A786" s="43"/>
      <c r="B786" s="43"/>
      <c r="C786" s="43"/>
      <c r="D786" s="43"/>
      <c r="E786" s="43"/>
      <c r="F786" s="43"/>
      <c r="G786" s="43"/>
    </row>
    <row r="787" spans="1:7" x14ac:dyDescent="0.2">
      <c r="A787" s="44"/>
      <c r="B787" s="44"/>
      <c r="C787" s="44"/>
      <c r="D787" s="44"/>
      <c r="E787" s="44"/>
      <c r="F787" s="44"/>
      <c r="G787" s="44"/>
    </row>
    <row r="788" spans="1:7" x14ac:dyDescent="0.2">
      <c r="A788" s="43"/>
      <c r="B788" s="43"/>
      <c r="C788" s="43"/>
      <c r="D788" s="43"/>
      <c r="E788" s="43"/>
      <c r="F788" s="43"/>
      <c r="G788" s="43"/>
    </row>
    <row r="789" spans="1:7" x14ac:dyDescent="0.2">
      <c r="A789" s="44"/>
      <c r="B789" s="44"/>
      <c r="C789" s="44"/>
      <c r="D789" s="44"/>
      <c r="E789" s="44"/>
      <c r="F789" s="44"/>
      <c r="G789" s="44"/>
    </row>
    <row r="790" spans="1:7" x14ac:dyDescent="0.2">
      <c r="A790" s="43"/>
      <c r="B790" s="43"/>
      <c r="C790" s="43"/>
      <c r="D790" s="43"/>
      <c r="E790" s="43"/>
      <c r="F790" s="43"/>
      <c r="G790" s="43"/>
    </row>
    <row r="791" spans="1:7" x14ac:dyDescent="0.2">
      <c r="A791" s="44"/>
      <c r="B791" s="44"/>
      <c r="C791" s="44"/>
      <c r="D791" s="44"/>
      <c r="E791" s="44"/>
      <c r="F791" s="44"/>
      <c r="G791" s="44"/>
    </row>
    <row r="792" spans="1:7" x14ac:dyDescent="0.2">
      <c r="A792" s="43"/>
      <c r="B792" s="43"/>
      <c r="C792" s="43"/>
      <c r="D792" s="43"/>
      <c r="E792" s="43"/>
      <c r="F792" s="43"/>
      <c r="G792" s="43"/>
    </row>
    <row r="793" spans="1:7" x14ac:dyDescent="0.2">
      <c r="A793" s="44"/>
      <c r="B793" s="44"/>
      <c r="C793" s="44"/>
      <c r="D793" s="44"/>
      <c r="E793" s="44"/>
      <c r="F793" s="44"/>
      <c r="G793" s="44"/>
    </row>
    <row r="794" spans="1:7" x14ac:dyDescent="0.2">
      <c r="A794" s="43"/>
      <c r="B794" s="43"/>
      <c r="C794" s="43"/>
      <c r="D794" s="43"/>
      <c r="E794" s="43"/>
      <c r="F794" s="43"/>
      <c r="G794" s="43"/>
    </row>
    <row r="795" spans="1:7" x14ac:dyDescent="0.2">
      <c r="A795" s="44"/>
      <c r="B795" s="44"/>
      <c r="C795" s="44"/>
      <c r="D795" s="44"/>
      <c r="E795" s="44"/>
      <c r="F795" s="44"/>
      <c r="G795" s="44"/>
    </row>
    <row r="796" spans="1:7" x14ac:dyDescent="0.2">
      <c r="A796" s="43"/>
      <c r="B796" s="43"/>
      <c r="C796" s="43"/>
      <c r="D796" s="43"/>
      <c r="E796" s="43"/>
      <c r="F796" s="43"/>
      <c r="G796" s="43"/>
    </row>
    <row r="797" spans="1:7" x14ac:dyDescent="0.2">
      <c r="A797" s="44"/>
      <c r="B797" s="44"/>
      <c r="C797" s="44"/>
      <c r="D797" s="44"/>
      <c r="E797" s="44"/>
      <c r="F797" s="44"/>
      <c r="G797" s="44"/>
    </row>
    <row r="798" spans="1:7" x14ac:dyDescent="0.2">
      <c r="A798" s="43"/>
      <c r="B798" s="43"/>
      <c r="C798" s="43"/>
      <c r="D798" s="43"/>
      <c r="E798" s="43"/>
      <c r="F798" s="43"/>
      <c r="G798" s="43"/>
    </row>
    <row r="799" spans="1:7" x14ac:dyDescent="0.2">
      <c r="A799" s="44"/>
      <c r="B799" s="44"/>
      <c r="C799" s="44"/>
      <c r="D799" s="44"/>
      <c r="E799" s="44"/>
      <c r="F799" s="44"/>
      <c r="G799" s="44"/>
    </row>
    <row r="800" spans="1:7" x14ac:dyDescent="0.2">
      <c r="A800" s="43"/>
      <c r="B800" s="43"/>
      <c r="C800" s="43"/>
      <c r="D800" s="43"/>
      <c r="E800" s="43"/>
      <c r="F800" s="43"/>
      <c r="G800" s="43"/>
    </row>
    <row r="801" spans="1:7" x14ac:dyDescent="0.2">
      <c r="A801" s="44"/>
      <c r="B801" s="44"/>
      <c r="C801" s="44"/>
      <c r="D801" s="44"/>
      <c r="E801" s="44"/>
      <c r="F801" s="44"/>
      <c r="G801" s="44"/>
    </row>
    <row r="802" spans="1:7" x14ac:dyDescent="0.2">
      <c r="A802" s="43"/>
      <c r="B802" s="43"/>
      <c r="C802" s="43"/>
      <c r="D802" s="43"/>
      <c r="E802" s="43"/>
      <c r="F802" s="43"/>
      <c r="G802" s="43"/>
    </row>
    <row r="803" spans="1:7" x14ac:dyDescent="0.2">
      <c r="A803" s="44"/>
      <c r="B803" s="44"/>
      <c r="C803" s="44"/>
      <c r="D803" s="44"/>
      <c r="E803" s="44"/>
      <c r="F803" s="44"/>
      <c r="G803" s="44"/>
    </row>
    <row r="804" spans="1:7" x14ac:dyDescent="0.2">
      <c r="A804" s="43"/>
      <c r="B804" s="43"/>
      <c r="C804" s="43"/>
      <c r="D804" s="43"/>
      <c r="E804" s="43"/>
      <c r="F804" s="43"/>
      <c r="G804" s="43"/>
    </row>
    <row r="805" spans="1:7" x14ac:dyDescent="0.2">
      <c r="A805" s="44"/>
      <c r="B805" s="44"/>
      <c r="C805" s="44"/>
      <c r="D805" s="44"/>
      <c r="E805" s="44"/>
      <c r="F805" s="44"/>
      <c r="G805" s="44"/>
    </row>
    <row r="806" spans="1:7" x14ac:dyDescent="0.2">
      <c r="A806" s="43"/>
      <c r="B806" s="43"/>
      <c r="C806" s="43"/>
      <c r="D806" s="43"/>
      <c r="E806" s="43"/>
      <c r="F806" s="43"/>
      <c r="G806" s="43"/>
    </row>
    <row r="807" spans="1:7" x14ac:dyDescent="0.2">
      <c r="A807" s="44"/>
      <c r="B807" s="44"/>
      <c r="C807" s="44"/>
      <c r="D807" s="44"/>
      <c r="E807" s="44"/>
      <c r="F807" s="44"/>
      <c r="G807" s="44"/>
    </row>
    <row r="808" spans="1:7" x14ac:dyDescent="0.2">
      <c r="A808" s="43"/>
      <c r="B808" s="43"/>
      <c r="C808" s="43"/>
      <c r="D808" s="43"/>
      <c r="E808" s="43"/>
      <c r="F808" s="43"/>
      <c r="G808" s="43"/>
    </row>
    <row r="809" spans="1:7" x14ac:dyDescent="0.2">
      <c r="A809" s="44"/>
      <c r="B809" s="44"/>
      <c r="C809" s="44"/>
      <c r="D809" s="44"/>
      <c r="E809" s="44"/>
      <c r="F809" s="44"/>
      <c r="G809" s="44"/>
    </row>
    <row r="810" spans="1:7" x14ac:dyDescent="0.2">
      <c r="A810" s="43"/>
      <c r="B810" s="43"/>
      <c r="C810" s="43"/>
      <c r="D810" s="43"/>
      <c r="E810" s="43"/>
      <c r="F810" s="43"/>
      <c r="G810" s="43"/>
    </row>
    <row r="811" spans="1:7" x14ac:dyDescent="0.2">
      <c r="A811" s="44"/>
      <c r="B811" s="44"/>
      <c r="C811" s="44"/>
      <c r="D811" s="44"/>
      <c r="E811" s="44"/>
      <c r="F811" s="44"/>
      <c r="G811" s="44"/>
    </row>
    <row r="812" spans="1:7" x14ac:dyDescent="0.2">
      <c r="A812" s="43"/>
      <c r="B812" s="43"/>
      <c r="C812" s="43"/>
      <c r="D812" s="43"/>
      <c r="E812" s="43"/>
      <c r="F812" s="43"/>
      <c r="G812" s="43"/>
    </row>
    <row r="813" spans="1:7" x14ac:dyDescent="0.2">
      <c r="A813" s="44"/>
      <c r="B813" s="44"/>
      <c r="C813" s="44"/>
      <c r="D813" s="44"/>
      <c r="E813" s="44"/>
      <c r="F813" s="44"/>
      <c r="G813" s="44"/>
    </row>
    <row r="814" spans="1:7" x14ac:dyDescent="0.2">
      <c r="A814" s="43"/>
      <c r="B814" s="43"/>
      <c r="C814" s="43"/>
      <c r="D814" s="43"/>
      <c r="E814" s="43"/>
      <c r="F814" s="43"/>
      <c r="G814" s="43"/>
    </row>
    <row r="815" spans="1:7" x14ac:dyDescent="0.2">
      <c r="A815" s="44"/>
      <c r="B815" s="44"/>
      <c r="C815" s="44"/>
      <c r="D815" s="44"/>
      <c r="E815" s="44"/>
      <c r="F815" s="44"/>
      <c r="G815" s="44"/>
    </row>
    <row r="816" spans="1:7" x14ac:dyDescent="0.2">
      <c r="A816" s="43"/>
      <c r="B816" s="43"/>
      <c r="C816" s="43"/>
      <c r="D816" s="43"/>
      <c r="E816" s="43"/>
      <c r="F816" s="43"/>
      <c r="G816" s="43"/>
    </row>
    <row r="817" spans="1:7" x14ac:dyDescent="0.2">
      <c r="A817" s="44"/>
      <c r="B817" s="44"/>
      <c r="C817" s="44"/>
      <c r="D817" s="44"/>
      <c r="E817" s="44"/>
      <c r="F817" s="44"/>
      <c r="G817" s="44"/>
    </row>
    <row r="818" spans="1:7" x14ac:dyDescent="0.2">
      <c r="A818" s="43"/>
      <c r="B818" s="43"/>
      <c r="C818" s="43"/>
      <c r="D818" s="43"/>
      <c r="E818" s="43"/>
      <c r="F818" s="43"/>
      <c r="G818" s="43"/>
    </row>
    <row r="819" spans="1:7" x14ac:dyDescent="0.2">
      <c r="A819" s="44"/>
      <c r="B819" s="44"/>
      <c r="C819" s="44"/>
      <c r="D819" s="44"/>
      <c r="E819" s="44"/>
      <c r="F819" s="44"/>
      <c r="G819" s="44"/>
    </row>
    <row r="820" spans="1:7" x14ac:dyDescent="0.2">
      <c r="A820" s="43"/>
      <c r="B820" s="43"/>
      <c r="C820" s="43"/>
      <c r="D820" s="43"/>
      <c r="E820" s="43"/>
      <c r="F820" s="43"/>
      <c r="G820" s="43"/>
    </row>
    <row r="821" spans="1:7" x14ac:dyDescent="0.2">
      <c r="A821" s="44"/>
      <c r="B821" s="44"/>
      <c r="C821" s="44"/>
      <c r="D821" s="44"/>
      <c r="E821" s="44"/>
      <c r="F821" s="44"/>
      <c r="G821" s="44"/>
    </row>
    <row r="822" spans="1:7" x14ac:dyDescent="0.2">
      <c r="A822" s="43"/>
      <c r="B822" s="43"/>
      <c r="C822" s="43"/>
      <c r="D822" s="43"/>
      <c r="E822" s="43"/>
      <c r="F822" s="43"/>
      <c r="G822" s="43"/>
    </row>
    <row r="823" spans="1:7" x14ac:dyDescent="0.2">
      <c r="A823" s="44"/>
      <c r="B823" s="44"/>
      <c r="C823" s="44"/>
      <c r="D823" s="44"/>
      <c r="E823" s="44"/>
      <c r="F823" s="44"/>
      <c r="G823" s="44"/>
    </row>
    <row r="824" spans="1:7" x14ac:dyDescent="0.2">
      <c r="A824" s="43"/>
      <c r="B824" s="43"/>
      <c r="C824" s="43"/>
      <c r="D824" s="43"/>
      <c r="E824" s="43"/>
      <c r="F824" s="43"/>
      <c r="G824" s="43"/>
    </row>
    <row r="825" spans="1:7" x14ac:dyDescent="0.2">
      <c r="A825" s="44"/>
      <c r="B825" s="44"/>
      <c r="C825" s="44"/>
      <c r="D825" s="44"/>
      <c r="E825" s="44"/>
      <c r="F825" s="44"/>
      <c r="G825" s="44"/>
    </row>
    <row r="826" spans="1:7" x14ac:dyDescent="0.2">
      <c r="A826" s="43"/>
      <c r="B826" s="43"/>
      <c r="C826" s="43"/>
      <c r="D826" s="43"/>
      <c r="E826" s="43"/>
      <c r="F826" s="43"/>
      <c r="G826" s="43"/>
    </row>
    <row r="827" spans="1:7" x14ac:dyDescent="0.2">
      <c r="A827" s="44"/>
      <c r="B827" s="44"/>
      <c r="C827" s="44"/>
      <c r="D827" s="44"/>
      <c r="E827" s="44"/>
      <c r="F827" s="44"/>
      <c r="G827" s="44"/>
    </row>
    <row r="828" spans="1:7" x14ac:dyDescent="0.2">
      <c r="A828" s="43"/>
      <c r="B828" s="43"/>
      <c r="C828" s="43"/>
      <c r="D828" s="43"/>
      <c r="E828" s="43"/>
      <c r="F828" s="43"/>
      <c r="G828" s="43"/>
    </row>
    <row r="829" spans="1:7" x14ac:dyDescent="0.2">
      <c r="A829" s="44"/>
      <c r="B829" s="44"/>
      <c r="C829" s="44"/>
      <c r="D829" s="44"/>
      <c r="E829" s="44"/>
      <c r="F829" s="44"/>
      <c r="G829" s="44"/>
    </row>
    <row r="830" spans="1:7" x14ac:dyDescent="0.2">
      <c r="A830" s="43"/>
      <c r="B830" s="43"/>
      <c r="C830" s="43"/>
      <c r="D830" s="43"/>
      <c r="E830" s="43"/>
      <c r="F830" s="43"/>
      <c r="G830" s="43"/>
    </row>
    <row r="831" spans="1:7" x14ac:dyDescent="0.2">
      <c r="A831" s="44"/>
      <c r="B831" s="44"/>
      <c r="C831" s="44"/>
      <c r="D831" s="44"/>
      <c r="E831" s="44"/>
      <c r="F831" s="44"/>
      <c r="G831" s="44"/>
    </row>
    <row r="832" spans="1:7" x14ac:dyDescent="0.2">
      <c r="A832" s="43"/>
      <c r="B832" s="43"/>
      <c r="C832" s="43"/>
      <c r="D832" s="43"/>
      <c r="E832" s="43"/>
      <c r="F832" s="43"/>
      <c r="G832" s="43"/>
    </row>
    <row r="833" spans="1:7" x14ac:dyDescent="0.2">
      <c r="A833" s="44"/>
      <c r="B833" s="44"/>
      <c r="C833" s="44"/>
      <c r="D833" s="44"/>
      <c r="E833" s="44"/>
      <c r="F833" s="44"/>
      <c r="G833" s="44"/>
    </row>
    <row r="834" spans="1:7" x14ac:dyDescent="0.2">
      <c r="A834" s="43"/>
      <c r="B834" s="43"/>
      <c r="C834" s="43"/>
      <c r="D834" s="43"/>
      <c r="E834" s="43"/>
      <c r="F834" s="43"/>
      <c r="G834" s="43"/>
    </row>
    <row r="835" spans="1:7" x14ac:dyDescent="0.2">
      <c r="A835" s="44"/>
      <c r="B835" s="44"/>
      <c r="C835" s="44"/>
      <c r="D835" s="44"/>
      <c r="E835" s="44"/>
      <c r="F835" s="44"/>
      <c r="G835" s="44"/>
    </row>
    <row r="836" spans="1:7" x14ac:dyDescent="0.2">
      <c r="A836" s="43"/>
      <c r="B836" s="43"/>
      <c r="C836" s="43"/>
      <c r="D836" s="43"/>
      <c r="E836" s="43"/>
      <c r="F836" s="43"/>
      <c r="G836" s="43"/>
    </row>
    <row r="837" spans="1:7" x14ac:dyDescent="0.2">
      <c r="A837" s="44"/>
      <c r="B837" s="44"/>
      <c r="C837" s="44"/>
      <c r="D837" s="44"/>
      <c r="E837" s="44"/>
      <c r="F837" s="44"/>
      <c r="G837" s="44"/>
    </row>
    <row r="838" spans="1:7" x14ac:dyDescent="0.2">
      <c r="A838" s="43"/>
      <c r="B838" s="43"/>
      <c r="C838" s="43"/>
      <c r="D838" s="43"/>
      <c r="E838" s="43"/>
      <c r="F838" s="43"/>
      <c r="G838" s="43"/>
    </row>
    <row r="839" spans="1:7" x14ac:dyDescent="0.2">
      <c r="A839" s="44"/>
      <c r="B839" s="44"/>
      <c r="C839" s="44"/>
      <c r="D839" s="44"/>
      <c r="E839" s="44"/>
      <c r="F839" s="44"/>
      <c r="G839" s="44"/>
    </row>
    <row r="840" spans="1:7" x14ac:dyDescent="0.2">
      <c r="A840" s="43"/>
      <c r="B840" s="43"/>
      <c r="C840" s="43"/>
      <c r="D840" s="43"/>
      <c r="E840" s="43"/>
      <c r="F840" s="43"/>
      <c r="G840" s="43"/>
    </row>
    <row r="841" spans="1:7" x14ac:dyDescent="0.2">
      <c r="A841" s="44"/>
      <c r="B841" s="44"/>
      <c r="C841" s="44"/>
      <c r="D841" s="44"/>
      <c r="E841" s="44"/>
      <c r="F841" s="44"/>
      <c r="G841" s="44"/>
    </row>
    <row r="842" spans="1:7" x14ac:dyDescent="0.2">
      <c r="A842" s="43"/>
      <c r="B842" s="43"/>
      <c r="C842" s="43"/>
      <c r="D842" s="43"/>
      <c r="E842" s="43"/>
      <c r="F842" s="43"/>
      <c r="G842" s="43"/>
    </row>
    <row r="843" spans="1:7" x14ac:dyDescent="0.2">
      <c r="A843" s="44"/>
      <c r="B843" s="44"/>
      <c r="C843" s="44"/>
      <c r="D843" s="44"/>
      <c r="E843" s="44"/>
      <c r="F843" s="44"/>
      <c r="G843" s="44"/>
    </row>
    <row r="844" spans="1:7" x14ac:dyDescent="0.2">
      <c r="A844" s="43"/>
      <c r="B844" s="43"/>
      <c r="C844" s="43"/>
      <c r="D844" s="43"/>
      <c r="E844" s="43"/>
      <c r="F844" s="43"/>
      <c r="G844" s="43"/>
    </row>
    <row r="845" spans="1:7" x14ac:dyDescent="0.2">
      <c r="A845" s="44"/>
      <c r="B845" s="44"/>
      <c r="C845" s="44"/>
      <c r="D845" s="44"/>
      <c r="E845" s="44"/>
      <c r="F845" s="44"/>
      <c r="G845" s="44"/>
    </row>
    <row r="846" spans="1:7" x14ac:dyDescent="0.2">
      <c r="A846" s="43"/>
      <c r="B846" s="43"/>
      <c r="C846" s="43"/>
      <c r="D846" s="43"/>
      <c r="E846" s="43"/>
      <c r="F846" s="43"/>
      <c r="G846" s="43"/>
    </row>
    <row r="847" spans="1:7" x14ac:dyDescent="0.2">
      <c r="A847" s="44"/>
      <c r="B847" s="44"/>
      <c r="C847" s="44"/>
      <c r="D847" s="44"/>
      <c r="E847" s="44"/>
      <c r="F847" s="44"/>
      <c r="G847" s="44"/>
    </row>
    <row r="848" spans="1:7" x14ac:dyDescent="0.2">
      <c r="A848" s="43"/>
      <c r="B848" s="43"/>
      <c r="C848" s="43"/>
      <c r="D848" s="43"/>
      <c r="E848" s="43"/>
      <c r="F848" s="43"/>
      <c r="G848" s="43"/>
    </row>
    <row r="849" spans="1:7" x14ac:dyDescent="0.2">
      <c r="A849" s="44"/>
      <c r="B849" s="44"/>
      <c r="C849" s="44"/>
      <c r="D849" s="44"/>
      <c r="E849" s="44"/>
      <c r="F849" s="44"/>
      <c r="G849" s="44"/>
    </row>
    <row r="850" spans="1:7" x14ac:dyDescent="0.2">
      <c r="A850" s="43"/>
      <c r="B850" s="43"/>
      <c r="C850" s="43"/>
      <c r="D850" s="43"/>
      <c r="E850" s="43"/>
      <c r="F850" s="43"/>
      <c r="G850" s="43"/>
    </row>
    <row r="851" spans="1:7" x14ac:dyDescent="0.2">
      <c r="A851" s="44"/>
      <c r="B851" s="44"/>
      <c r="C851" s="44"/>
      <c r="D851" s="44"/>
      <c r="E851" s="44"/>
      <c r="F851" s="44"/>
      <c r="G851" s="44"/>
    </row>
    <row r="852" spans="1:7" x14ac:dyDescent="0.2">
      <c r="A852" s="43"/>
      <c r="B852" s="43"/>
      <c r="C852" s="43"/>
      <c r="D852" s="43"/>
      <c r="E852" s="43"/>
      <c r="F852" s="43"/>
      <c r="G852" s="43"/>
    </row>
    <row r="853" spans="1:7" x14ac:dyDescent="0.2">
      <c r="A853" s="44"/>
      <c r="B853" s="44"/>
      <c r="C853" s="44"/>
      <c r="D853" s="44"/>
      <c r="E853" s="44"/>
      <c r="F853" s="44"/>
      <c r="G853" s="44"/>
    </row>
    <row r="854" spans="1:7" x14ac:dyDescent="0.2">
      <c r="A854" s="43"/>
      <c r="B854" s="43"/>
      <c r="C854" s="43"/>
      <c r="D854" s="43"/>
      <c r="E854" s="43"/>
      <c r="F854" s="43"/>
      <c r="G854" s="43"/>
    </row>
    <row r="855" spans="1:7" x14ac:dyDescent="0.2">
      <c r="A855" s="44"/>
      <c r="B855" s="44"/>
      <c r="C855" s="44"/>
      <c r="D855" s="44"/>
      <c r="E855" s="44"/>
      <c r="F855" s="44"/>
      <c r="G855" s="44"/>
    </row>
    <row r="856" spans="1:7" x14ac:dyDescent="0.2">
      <c r="A856" s="43"/>
      <c r="B856" s="43"/>
      <c r="C856" s="43"/>
      <c r="D856" s="43"/>
      <c r="E856" s="43"/>
      <c r="F856" s="43"/>
      <c r="G856" s="43"/>
    </row>
    <row r="857" spans="1:7" x14ac:dyDescent="0.2">
      <c r="A857" s="44"/>
      <c r="B857" s="44"/>
      <c r="C857" s="44"/>
      <c r="D857" s="44"/>
      <c r="E857" s="44"/>
      <c r="F857" s="44"/>
      <c r="G857" s="44"/>
    </row>
    <row r="858" spans="1:7" x14ac:dyDescent="0.2">
      <c r="A858" s="43"/>
      <c r="B858" s="43"/>
      <c r="C858" s="43"/>
      <c r="D858" s="43"/>
      <c r="E858" s="43"/>
      <c r="F858" s="43"/>
      <c r="G858" s="43"/>
    </row>
    <row r="859" spans="1:7" x14ac:dyDescent="0.2">
      <c r="A859" s="44"/>
      <c r="B859" s="44"/>
      <c r="C859" s="44"/>
      <c r="D859" s="44"/>
      <c r="E859" s="44"/>
      <c r="F859" s="44"/>
      <c r="G859" s="44"/>
    </row>
    <row r="860" spans="1:7" x14ac:dyDescent="0.2">
      <c r="A860" s="43"/>
      <c r="B860" s="43"/>
      <c r="C860" s="43"/>
      <c r="D860" s="43"/>
      <c r="E860" s="43"/>
      <c r="F860" s="43"/>
      <c r="G860" s="43"/>
    </row>
    <row r="861" spans="1:7" x14ac:dyDescent="0.2">
      <c r="A861" s="44"/>
      <c r="B861" s="44"/>
      <c r="C861" s="44"/>
      <c r="D861" s="44"/>
      <c r="E861" s="44"/>
      <c r="F861" s="44"/>
      <c r="G861" s="44"/>
    </row>
    <row r="862" spans="1:7" x14ac:dyDescent="0.2">
      <c r="A862" s="43"/>
      <c r="B862" s="43"/>
      <c r="C862" s="43"/>
      <c r="D862" s="43"/>
      <c r="E862" s="43"/>
      <c r="F862" s="43"/>
      <c r="G862" s="43"/>
    </row>
    <row r="863" spans="1:7" x14ac:dyDescent="0.2">
      <c r="A863" s="44"/>
      <c r="B863" s="44"/>
      <c r="C863" s="44"/>
      <c r="D863" s="44"/>
      <c r="E863" s="44"/>
      <c r="F863" s="44"/>
      <c r="G863" s="44"/>
    </row>
    <row r="864" spans="1:7" x14ac:dyDescent="0.2">
      <c r="A864" s="43"/>
      <c r="B864" s="43"/>
      <c r="C864" s="43"/>
      <c r="D864" s="43"/>
      <c r="E864" s="43"/>
      <c r="F864" s="43"/>
      <c r="G864" s="43"/>
    </row>
    <row r="865" spans="1:7" x14ac:dyDescent="0.2">
      <c r="A865" s="44"/>
      <c r="B865" s="44"/>
      <c r="C865" s="44"/>
      <c r="D865" s="44"/>
      <c r="E865" s="44"/>
      <c r="F865" s="44"/>
      <c r="G865" s="44"/>
    </row>
    <row r="866" spans="1:7" x14ac:dyDescent="0.2">
      <c r="A866" s="43"/>
      <c r="B866" s="43"/>
      <c r="C866" s="43"/>
      <c r="D866" s="43"/>
      <c r="E866" s="43"/>
      <c r="F866" s="43"/>
      <c r="G866" s="43"/>
    </row>
    <row r="867" spans="1:7" x14ac:dyDescent="0.2">
      <c r="A867" s="44"/>
      <c r="B867" s="44"/>
      <c r="C867" s="44"/>
      <c r="D867" s="44"/>
      <c r="E867" s="44"/>
      <c r="F867" s="44"/>
      <c r="G867" s="44"/>
    </row>
    <row r="868" spans="1:7" x14ac:dyDescent="0.2">
      <c r="A868" s="43"/>
      <c r="B868" s="43"/>
      <c r="C868" s="43"/>
      <c r="D868" s="43"/>
      <c r="E868" s="43"/>
      <c r="F868" s="43"/>
      <c r="G868" s="43"/>
    </row>
    <row r="869" spans="1:7" x14ac:dyDescent="0.2">
      <c r="A869" s="44"/>
      <c r="B869" s="44"/>
      <c r="C869" s="44"/>
      <c r="D869" s="44"/>
      <c r="E869" s="44"/>
      <c r="F869" s="44"/>
      <c r="G869" s="44"/>
    </row>
    <row r="870" spans="1:7" x14ac:dyDescent="0.2">
      <c r="A870" s="43"/>
      <c r="B870" s="43"/>
      <c r="C870" s="43"/>
      <c r="D870" s="43"/>
      <c r="E870" s="43"/>
      <c r="F870" s="43"/>
      <c r="G870" s="43"/>
    </row>
    <row r="871" spans="1:7" x14ac:dyDescent="0.2">
      <c r="A871" s="44"/>
      <c r="B871" s="44"/>
      <c r="C871" s="44"/>
      <c r="D871" s="44"/>
      <c r="E871" s="44"/>
      <c r="F871" s="44"/>
      <c r="G871" s="44"/>
    </row>
    <row r="872" spans="1:7" x14ac:dyDescent="0.2">
      <c r="A872" s="43"/>
      <c r="B872" s="43"/>
      <c r="C872" s="43"/>
      <c r="D872" s="43"/>
      <c r="E872" s="43"/>
      <c r="F872" s="43"/>
      <c r="G872" s="43"/>
    </row>
    <row r="873" spans="1:7" x14ac:dyDescent="0.2">
      <c r="A873" s="44"/>
      <c r="B873" s="44"/>
      <c r="C873" s="44"/>
      <c r="D873" s="44"/>
      <c r="E873" s="44"/>
      <c r="F873" s="44"/>
      <c r="G873" s="44"/>
    </row>
    <row r="874" spans="1:7" x14ac:dyDescent="0.2">
      <c r="A874" s="43"/>
      <c r="B874" s="43"/>
      <c r="C874" s="43"/>
      <c r="D874" s="43"/>
      <c r="E874" s="43"/>
      <c r="F874" s="43"/>
      <c r="G874" s="43"/>
    </row>
    <row r="875" spans="1:7" x14ac:dyDescent="0.2">
      <c r="A875" s="44"/>
      <c r="B875" s="44"/>
      <c r="C875" s="44"/>
      <c r="D875" s="44"/>
      <c r="E875" s="44"/>
      <c r="F875" s="44"/>
      <c r="G875" s="44"/>
    </row>
    <row r="876" spans="1:7" x14ac:dyDescent="0.2">
      <c r="A876" s="43"/>
      <c r="B876" s="43"/>
      <c r="C876" s="43"/>
      <c r="D876" s="43"/>
      <c r="E876" s="43"/>
      <c r="F876" s="43"/>
      <c r="G876" s="43"/>
    </row>
    <row r="877" spans="1:7" x14ac:dyDescent="0.2">
      <c r="A877" s="44"/>
      <c r="B877" s="44"/>
      <c r="C877" s="44"/>
      <c r="D877" s="44"/>
      <c r="E877" s="44"/>
      <c r="F877" s="44"/>
      <c r="G877" s="44"/>
    </row>
    <row r="878" spans="1:7" x14ac:dyDescent="0.2">
      <c r="A878" s="43"/>
      <c r="B878" s="43"/>
      <c r="C878" s="43"/>
      <c r="D878" s="43"/>
      <c r="E878" s="43"/>
      <c r="F878" s="43"/>
      <c r="G878" s="43"/>
    </row>
    <row r="879" spans="1:7" x14ac:dyDescent="0.2">
      <c r="A879" s="44"/>
      <c r="B879" s="44"/>
      <c r="C879" s="44"/>
      <c r="D879" s="44"/>
      <c r="E879" s="44"/>
      <c r="F879" s="44"/>
      <c r="G879" s="44"/>
    </row>
    <row r="880" spans="1:7" x14ac:dyDescent="0.2">
      <c r="A880" s="43"/>
      <c r="B880" s="43"/>
      <c r="C880" s="43"/>
      <c r="D880" s="43"/>
      <c r="E880" s="43"/>
      <c r="F880" s="43"/>
      <c r="G880" s="43"/>
    </row>
    <row r="881" spans="1:7" x14ac:dyDescent="0.2">
      <c r="A881" s="44"/>
      <c r="B881" s="44"/>
      <c r="C881" s="44"/>
      <c r="D881" s="44"/>
      <c r="E881" s="44"/>
      <c r="F881" s="44"/>
      <c r="G881" s="44"/>
    </row>
    <row r="882" spans="1:7" x14ac:dyDescent="0.2">
      <c r="A882" s="43"/>
      <c r="B882" s="43"/>
      <c r="C882" s="43"/>
      <c r="D882" s="43"/>
      <c r="E882" s="43"/>
      <c r="F882" s="43"/>
      <c r="G882" s="43"/>
    </row>
    <row r="883" spans="1:7" x14ac:dyDescent="0.2">
      <c r="A883" s="44"/>
      <c r="B883" s="44"/>
      <c r="C883" s="44"/>
      <c r="D883" s="44"/>
      <c r="E883" s="44"/>
      <c r="F883" s="44"/>
      <c r="G883" s="44"/>
    </row>
    <row r="884" spans="1:7" x14ac:dyDescent="0.2">
      <c r="A884" s="43"/>
      <c r="B884" s="43"/>
      <c r="C884" s="43"/>
      <c r="D884" s="43"/>
      <c r="E884" s="43"/>
      <c r="F884" s="43"/>
      <c r="G884" s="43"/>
    </row>
    <row r="885" spans="1:7" x14ac:dyDescent="0.2">
      <c r="A885" s="44"/>
      <c r="B885" s="44"/>
      <c r="C885" s="44"/>
      <c r="D885" s="44"/>
      <c r="E885" s="44"/>
      <c r="F885" s="44"/>
      <c r="G885" s="44"/>
    </row>
    <row r="886" spans="1:7" x14ac:dyDescent="0.2">
      <c r="A886" s="43"/>
      <c r="B886" s="43"/>
      <c r="C886" s="43"/>
      <c r="D886" s="43"/>
      <c r="E886" s="43"/>
      <c r="F886" s="43"/>
      <c r="G886" s="43"/>
    </row>
    <row r="887" spans="1:7" x14ac:dyDescent="0.2">
      <c r="A887" s="44"/>
      <c r="B887" s="44"/>
      <c r="C887" s="44"/>
      <c r="D887" s="44"/>
      <c r="E887" s="44"/>
      <c r="F887" s="44"/>
      <c r="G887" s="44"/>
    </row>
    <row r="888" spans="1:7" x14ac:dyDescent="0.2">
      <c r="A888" s="43"/>
      <c r="B888" s="43"/>
      <c r="C888" s="43"/>
      <c r="D888" s="43"/>
      <c r="E888" s="43"/>
      <c r="F888" s="43"/>
      <c r="G888" s="43"/>
    </row>
    <row r="889" spans="1:7" x14ac:dyDescent="0.2">
      <c r="A889" s="44"/>
      <c r="B889" s="44"/>
      <c r="C889" s="44"/>
      <c r="D889" s="44"/>
      <c r="E889" s="44"/>
      <c r="F889" s="44"/>
      <c r="G889" s="44"/>
    </row>
    <row r="890" spans="1:7" x14ac:dyDescent="0.2">
      <c r="A890" s="43"/>
      <c r="B890" s="43"/>
      <c r="C890" s="43"/>
      <c r="D890" s="43"/>
      <c r="E890" s="43"/>
      <c r="F890" s="43"/>
      <c r="G890" s="43"/>
    </row>
    <row r="891" spans="1:7" x14ac:dyDescent="0.2">
      <c r="A891" s="44"/>
      <c r="B891" s="44"/>
      <c r="C891" s="44"/>
      <c r="D891" s="44"/>
      <c r="E891" s="44"/>
      <c r="F891" s="44"/>
      <c r="G891" s="44"/>
    </row>
    <row r="892" spans="1:7" x14ac:dyDescent="0.2">
      <c r="A892" s="43"/>
      <c r="B892" s="43"/>
      <c r="C892" s="43"/>
      <c r="D892" s="43"/>
      <c r="E892" s="43"/>
      <c r="F892" s="43"/>
      <c r="G892" s="43"/>
    </row>
    <row r="893" spans="1:7" x14ac:dyDescent="0.2">
      <c r="A893" s="44"/>
      <c r="B893" s="44"/>
      <c r="C893" s="44"/>
      <c r="D893" s="44"/>
      <c r="E893" s="44"/>
      <c r="F893" s="44"/>
      <c r="G893" s="44"/>
    </row>
    <row r="894" spans="1:7" x14ac:dyDescent="0.2">
      <c r="A894" s="43"/>
      <c r="B894" s="43"/>
      <c r="C894" s="43"/>
      <c r="D894" s="43"/>
      <c r="E894" s="43"/>
      <c r="F894" s="43"/>
      <c r="G894" s="43"/>
    </row>
    <row r="895" spans="1:7" x14ac:dyDescent="0.2">
      <c r="A895" s="44"/>
      <c r="B895" s="44"/>
      <c r="C895" s="44"/>
      <c r="D895" s="44"/>
      <c r="E895" s="44"/>
      <c r="F895" s="44"/>
      <c r="G895" s="44"/>
    </row>
    <row r="896" spans="1:7" x14ac:dyDescent="0.2">
      <c r="A896" s="43"/>
      <c r="B896" s="43"/>
      <c r="C896" s="43"/>
      <c r="D896" s="43"/>
      <c r="E896" s="43"/>
      <c r="F896" s="43"/>
      <c r="G896" s="43"/>
    </row>
    <row r="897" spans="1:7" x14ac:dyDescent="0.2">
      <c r="A897" s="44"/>
      <c r="B897" s="44"/>
      <c r="C897" s="44"/>
      <c r="D897" s="44"/>
      <c r="E897" s="44"/>
      <c r="F897" s="44"/>
      <c r="G897" s="44"/>
    </row>
    <row r="898" spans="1:7" x14ac:dyDescent="0.2">
      <c r="A898" s="43"/>
      <c r="B898" s="43"/>
      <c r="C898" s="43"/>
      <c r="D898" s="43"/>
      <c r="E898" s="43"/>
      <c r="F898" s="43"/>
      <c r="G898" s="43"/>
    </row>
    <row r="899" spans="1:7" x14ac:dyDescent="0.2">
      <c r="A899" s="44"/>
      <c r="B899" s="44"/>
      <c r="C899" s="44"/>
      <c r="D899" s="44"/>
      <c r="E899" s="44"/>
      <c r="F899" s="44"/>
      <c r="G899" s="44"/>
    </row>
    <row r="900" spans="1:7" x14ac:dyDescent="0.2">
      <c r="A900" s="43"/>
      <c r="B900" s="43"/>
      <c r="C900" s="43"/>
      <c r="D900" s="43"/>
      <c r="E900" s="43"/>
      <c r="F900" s="43"/>
      <c r="G900" s="43"/>
    </row>
    <row r="901" spans="1:7" x14ac:dyDescent="0.2">
      <c r="A901" s="44"/>
      <c r="B901" s="44"/>
      <c r="C901" s="44"/>
      <c r="D901" s="44"/>
      <c r="E901" s="44"/>
      <c r="F901" s="44"/>
      <c r="G901" s="44"/>
    </row>
    <row r="902" spans="1:7" x14ac:dyDescent="0.2">
      <c r="A902" s="43"/>
      <c r="B902" s="43"/>
      <c r="C902" s="43"/>
      <c r="D902" s="43"/>
      <c r="E902" s="43"/>
      <c r="F902" s="43"/>
      <c r="G902" s="43"/>
    </row>
    <row r="903" spans="1:7" x14ac:dyDescent="0.2">
      <c r="A903" s="44"/>
      <c r="B903" s="44"/>
      <c r="C903" s="44"/>
      <c r="D903" s="44"/>
      <c r="E903" s="44"/>
      <c r="F903" s="44"/>
      <c r="G903" s="44"/>
    </row>
    <row r="904" spans="1:7" x14ac:dyDescent="0.2">
      <c r="A904" s="43"/>
      <c r="B904" s="43"/>
      <c r="C904" s="43"/>
      <c r="D904" s="43"/>
      <c r="E904" s="43"/>
      <c r="F904" s="43"/>
      <c r="G904" s="43"/>
    </row>
    <row r="905" spans="1:7" x14ac:dyDescent="0.2">
      <c r="A905" s="44"/>
      <c r="B905" s="44"/>
      <c r="C905" s="44"/>
      <c r="D905" s="44"/>
      <c r="E905" s="44"/>
      <c r="F905" s="44"/>
      <c r="G905" s="44"/>
    </row>
    <row r="906" spans="1:7" x14ac:dyDescent="0.2">
      <c r="A906" s="43"/>
      <c r="B906" s="43"/>
      <c r="C906" s="43"/>
      <c r="D906" s="43"/>
      <c r="E906" s="43"/>
      <c r="F906" s="43"/>
      <c r="G906" s="43"/>
    </row>
    <row r="907" spans="1:7" x14ac:dyDescent="0.2">
      <c r="A907" s="44"/>
      <c r="B907" s="44"/>
      <c r="C907" s="44"/>
      <c r="D907" s="44"/>
      <c r="E907" s="44"/>
      <c r="F907" s="44"/>
      <c r="G907" s="44"/>
    </row>
    <row r="908" spans="1:7" x14ac:dyDescent="0.2">
      <c r="A908" s="43"/>
      <c r="B908" s="43"/>
      <c r="C908" s="43"/>
      <c r="D908" s="43"/>
      <c r="E908" s="43"/>
      <c r="F908" s="43"/>
      <c r="G908" s="43"/>
    </row>
    <row r="909" spans="1:7" x14ac:dyDescent="0.2">
      <c r="A909" s="44"/>
      <c r="B909" s="44"/>
      <c r="C909" s="44"/>
      <c r="D909" s="44"/>
      <c r="E909" s="44"/>
      <c r="F909" s="44"/>
      <c r="G909" s="44"/>
    </row>
    <row r="910" spans="1:7" x14ac:dyDescent="0.2">
      <c r="A910" s="43"/>
      <c r="B910" s="43"/>
      <c r="C910" s="43"/>
      <c r="D910" s="43"/>
      <c r="E910" s="43"/>
      <c r="F910" s="43"/>
      <c r="G910" s="43"/>
    </row>
    <row r="911" spans="1:7" x14ac:dyDescent="0.2">
      <c r="A911" s="44"/>
      <c r="B911" s="44"/>
      <c r="C911" s="44"/>
      <c r="D911" s="44"/>
      <c r="E911" s="44"/>
      <c r="F911" s="44"/>
      <c r="G911" s="44"/>
    </row>
    <row r="912" spans="1:7" x14ac:dyDescent="0.2">
      <c r="A912" s="43"/>
      <c r="B912" s="43"/>
      <c r="C912" s="43"/>
      <c r="D912" s="43"/>
      <c r="E912" s="43"/>
      <c r="F912" s="43"/>
      <c r="G912" s="43"/>
    </row>
    <row r="913" spans="1:7" x14ac:dyDescent="0.2">
      <c r="A913" s="44"/>
      <c r="B913" s="44"/>
      <c r="C913" s="44"/>
      <c r="D913" s="44"/>
      <c r="E913" s="44"/>
      <c r="F913" s="44"/>
      <c r="G913" s="44"/>
    </row>
    <row r="914" spans="1:7" x14ac:dyDescent="0.2">
      <c r="A914" s="43"/>
      <c r="B914" s="43"/>
      <c r="C914" s="43"/>
      <c r="D914" s="43"/>
      <c r="E914" s="43"/>
      <c r="F914" s="43"/>
      <c r="G914" s="43"/>
    </row>
    <row r="915" spans="1:7" x14ac:dyDescent="0.2">
      <c r="A915" s="44"/>
      <c r="B915" s="44"/>
      <c r="C915" s="44"/>
      <c r="D915" s="44"/>
      <c r="E915" s="44"/>
      <c r="F915" s="44"/>
      <c r="G915" s="44"/>
    </row>
    <row r="916" spans="1:7" x14ac:dyDescent="0.2">
      <c r="A916" s="43"/>
      <c r="B916" s="43"/>
      <c r="C916" s="43"/>
      <c r="D916" s="43"/>
      <c r="E916" s="43"/>
      <c r="F916" s="43"/>
      <c r="G916" s="43"/>
    </row>
    <row r="917" spans="1:7" x14ac:dyDescent="0.2">
      <c r="A917" s="44"/>
      <c r="B917" s="44"/>
      <c r="C917" s="44"/>
      <c r="D917" s="44"/>
      <c r="E917" s="44"/>
      <c r="F917" s="44"/>
      <c r="G917" s="44"/>
    </row>
    <row r="918" spans="1:7" x14ac:dyDescent="0.2">
      <c r="A918" s="43"/>
      <c r="B918" s="43"/>
      <c r="C918" s="43"/>
      <c r="D918" s="43"/>
      <c r="E918" s="43"/>
      <c r="F918" s="43"/>
      <c r="G918" s="43"/>
    </row>
    <row r="919" spans="1:7" x14ac:dyDescent="0.2">
      <c r="A919" s="44"/>
      <c r="B919" s="44"/>
      <c r="C919" s="44"/>
      <c r="D919" s="44"/>
      <c r="E919" s="44"/>
      <c r="F919" s="44"/>
      <c r="G919" s="44"/>
    </row>
    <row r="920" spans="1:7" x14ac:dyDescent="0.2">
      <c r="A920" s="43"/>
      <c r="B920" s="43"/>
      <c r="C920" s="43"/>
      <c r="D920" s="43"/>
      <c r="E920" s="43"/>
      <c r="F920" s="43"/>
      <c r="G920" s="43"/>
    </row>
    <row r="921" spans="1:7" x14ac:dyDescent="0.2">
      <c r="A921" s="44"/>
      <c r="B921" s="44"/>
      <c r="C921" s="44"/>
      <c r="D921" s="44"/>
      <c r="E921" s="44"/>
      <c r="F921" s="44"/>
      <c r="G921" s="44"/>
    </row>
    <row r="922" spans="1:7" x14ac:dyDescent="0.2">
      <c r="A922" s="43"/>
      <c r="B922" s="43"/>
      <c r="C922" s="43"/>
      <c r="D922" s="43"/>
      <c r="E922" s="43"/>
      <c r="F922" s="43"/>
      <c r="G922" s="43"/>
    </row>
    <row r="923" spans="1:7" x14ac:dyDescent="0.2">
      <c r="A923" s="44"/>
      <c r="B923" s="44"/>
      <c r="C923" s="44"/>
      <c r="D923" s="44"/>
      <c r="E923" s="44"/>
      <c r="F923" s="44"/>
      <c r="G923" s="44"/>
    </row>
    <row r="924" spans="1:7" x14ac:dyDescent="0.2">
      <c r="A924" s="43"/>
      <c r="B924" s="43"/>
      <c r="C924" s="43"/>
      <c r="D924" s="43"/>
      <c r="E924" s="43"/>
      <c r="F924" s="43"/>
      <c r="G924" s="43"/>
    </row>
    <row r="925" spans="1:7" x14ac:dyDescent="0.2">
      <c r="A925" s="44"/>
      <c r="B925" s="44"/>
      <c r="C925" s="44"/>
      <c r="D925" s="44"/>
      <c r="E925" s="44"/>
      <c r="F925" s="44"/>
      <c r="G925" s="44"/>
    </row>
    <row r="926" spans="1:7" x14ac:dyDescent="0.2">
      <c r="A926" s="43"/>
      <c r="B926" s="43"/>
      <c r="C926" s="43"/>
      <c r="D926" s="43"/>
      <c r="E926" s="43"/>
      <c r="F926" s="43"/>
      <c r="G926" s="43"/>
    </row>
    <row r="927" spans="1:7" x14ac:dyDescent="0.2">
      <c r="A927" s="44"/>
      <c r="B927" s="44"/>
      <c r="C927" s="44"/>
      <c r="D927" s="44"/>
      <c r="E927" s="44"/>
      <c r="F927" s="44"/>
      <c r="G927" s="44"/>
    </row>
    <row r="928" spans="1:7" x14ac:dyDescent="0.2">
      <c r="A928" s="43"/>
      <c r="B928" s="43"/>
      <c r="C928" s="43"/>
      <c r="D928" s="43"/>
      <c r="E928" s="43"/>
      <c r="F928" s="43"/>
      <c r="G928" s="43"/>
    </row>
    <row r="929" spans="1:7" x14ac:dyDescent="0.2">
      <c r="A929" s="44"/>
      <c r="B929" s="44"/>
      <c r="C929" s="44"/>
      <c r="D929" s="44"/>
      <c r="E929" s="44"/>
      <c r="F929" s="44"/>
      <c r="G929" s="44"/>
    </row>
    <row r="930" spans="1:7" x14ac:dyDescent="0.2">
      <c r="A930" s="43"/>
      <c r="B930" s="43"/>
      <c r="C930" s="43"/>
      <c r="D930" s="43"/>
      <c r="E930" s="43"/>
      <c r="F930" s="43"/>
      <c r="G930" s="43"/>
    </row>
    <row r="931" spans="1:7" x14ac:dyDescent="0.2">
      <c r="A931" s="44"/>
      <c r="B931" s="44"/>
      <c r="C931" s="44"/>
      <c r="D931" s="44"/>
      <c r="E931" s="44"/>
      <c r="F931" s="44"/>
      <c r="G931" s="44"/>
    </row>
    <row r="932" spans="1:7" x14ac:dyDescent="0.2">
      <c r="A932" s="43"/>
      <c r="B932" s="43"/>
      <c r="C932" s="43"/>
      <c r="D932" s="43"/>
      <c r="E932" s="43"/>
      <c r="F932" s="43"/>
      <c r="G932" s="43"/>
    </row>
    <row r="933" spans="1:7" x14ac:dyDescent="0.2">
      <c r="A933" s="44"/>
      <c r="B933" s="44"/>
      <c r="C933" s="44"/>
      <c r="D933" s="44"/>
      <c r="E933" s="44"/>
      <c r="F933" s="44"/>
      <c r="G933" s="44"/>
    </row>
    <row r="934" spans="1:7" x14ac:dyDescent="0.2">
      <c r="A934" s="43"/>
      <c r="B934" s="43"/>
      <c r="C934" s="43"/>
      <c r="D934" s="43"/>
      <c r="E934" s="43"/>
      <c r="F934" s="43"/>
      <c r="G934" s="43"/>
    </row>
    <row r="935" spans="1:7" x14ac:dyDescent="0.2">
      <c r="A935" s="44"/>
      <c r="B935" s="44"/>
      <c r="C935" s="44"/>
      <c r="D935" s="44"/>
      <c r="E935" s="44"/>
      <c r="F935" s="44"/>
      <c r="G935" s="44"/>
    </row>
    <row r="936" spans="1:7" x14ac:dyDescent="0.2">
      <c r="A936" s="43"/>
      <c r="B936" s="43"/>
      <c r="C936" s="43"/>
      <c r="D936" s="43"/>
      <c r="E936" s="43"/>
      <c r="F936" s="43"/>
      <c r="G936" s="43"/>
    </row>
    <row r="937" spans="1:7" x14ac:dyDescent="0.2">
      <c r="A937" s="44"/>
      <c r="B937" s="44"/>
      <c r="C937" s="44"/>
      <c r="D937" s="44"/>
      <c r="E937" s="44"/>
      <c r="F937" s="44"/>
      <c r="G937" s="44"/>
    </row>
    <row r="938" spans="1:7" x14ac:dyDescent="0.2">
      <c r="A938" s="43"/>
      <c r="B938" s="43"/>
      <c r="C938" s="43"/>
      <c r="D938" s="43"/>
      <c r="E938" s="43"/>
      <c r="F938" s="43"/>
      <c r="G938" s="43"/>
    </row>
    <row r="939" spans="1:7" x14ac:dyDescent="0.2">
      <c r="A939" s="44"/>
      <c r="B939" s="44"/>
      <c r="C939" s="44"/>
      <c r="D939" s="44"/>
      <c r="E939" s="44"/>
      <c r="F939" s="44"/>
      <c r="G939" s="44"/>
    </row>
    <row r="940" spans="1:7" x14ac:dyDescent="0.2">
      <c r="A940" s="43"/>
      <c r="B940" s="43"/>
      <c r="C940" s="43"/>
      <c r="D940" s="43"/>
      <c r="E940" s="43"/>
      <c r="F940" s="43"/>
      <c r="G940" s="43"/>
    </row>
    <row r="941" spans="1:7" x14ac:dyDescent="0.2">
      <c r="A941" s="44"/>
      <c r="B941" s="44"/>
      <c r="C941" s="44"/>
      <c r="D941" s="44"/>
      <c r="E941" s="44"/>
      <c r="F941" s="44"/>
      <c r="G941" s="44"/>
    </row>
    <row r="942" spans="1:7" x14ac:dyDescent="0.2">
      <c r="A942" s="43"/>
      <c r="B942" s="43"/>
      <c r="C942" s="43"/>
      <c r="D942" s="43"/>
      <c r="E942" s="43"/>
      <c r="F942" s="43"/>
      <c r="G942" s="43"/>
    </row>
    <row r="943" spans="1:7" x14ac:dyDescent="0.2">
      <c r="A943" s="44"/>
      <c r="B943" s="44"/>
      <c r="C943" s="44"/>
      <c r="D943" s="44"/>
      <c r="E943" s="44"/>
      <c r="F943" s="44"/>
      <c r="G943" s="44"/>
    </row>
    <row r="944" spans="1:7" x14ac:dyDescent="0.2">
      <c r="A944" s="43"/>
      <c r="B944" s="43"/>
      <c r="C944" s="43"/>
      <c r="D944" s="43"/>
      <c r="E944" s="43"/>
      <c r="F944" s="43"/>
      <c r="G944" s="43"/>
    </row>
    <row r="945" spans="1:7" x14ac:dyDescent="0.2">
      <c r="A945" s="44"/>
      <c r="B945" s="44"/>
      <c r="C945" s="44"/>
      <c r="D945" s="44"/>
      <c r="E945" s="44"/>
      <c r="F945" s="44"/>
      <c r="G945" s="44"/>
    </row>
    <row r="946" spans="1:7" x14ac:dyDescent="0.2">
      <c r="A946" s="43"/>
      <c r="B946" s="43"/>
      <c r="C946" s="43"/>
      <c r="D946" s="43"/>
      <c r="E946" s="43"/>
      <c r="F946" s="43"/>
      <c r="G946" s="43"/>
    </row>
    <row r="947" spans="1:7" x14ac:dyDescent="0.2">
      <c r="A947" s="44"/>
      <c r="B947" s="44"/>
      <c r="C947" s="44"/>
      <c r="D947" s="44"/>
      <c r="E947" s="44"/>
      <c r="F947" s="44"/>
      <c r="G947" s="44"/>
    </row>
    <row r="948" spans="1:7" x14ac:dyDescent="0.2">
      <c r="A948" s="43"/>
      <c r="B948" s="43"/>
      <c r="C948" s="43"/>
      <c r="D948" s="43"/>
      <c r="E948" s="43"/>
      <c r="F948" s="43"/>
      <c r="G948" s="43"/>
    </row>
    <row r="949" spans="1:7" x14ac:dyDescent="0.2">
      <c r="A949" s="44"/>
      <c r="B949" s="44"/>
      <c r="C949" s="44"/>
      <c r="D949" s="44"/>
      <c r="E949" s="44"/>
      <c r="F949" s="44"/>
      <c r="G949" s="44"/>
    </row>
    <row r="950" spans="1:7" x14ac:dyDescent="0.2">
      <c r="A950" s="43"/>
      <c r="B950" s="43"/>
      <c r="C950" s="43"/>
      <c r="D950" s="43"/>
      <c r="E950" s="43"/>
      <c r="F950" s="43"/>
      <c r="G950" s="43"/>
    </row>
    <row r="951" spans="1:7" x14ac:dyDescent="0.2">
      <c r="A951" s="44"/>
      <c r="B951" s="44"/>
      <c r="C951" s="44"/>
      <c r="D951" s="44"/>
      <c r="E951" s="44"/>
      <c r="F951" s="44"/>
      <c r="G951" s="44"/>
    </row>
    <row r="952" spans="1:7" x14ac:dyDescent="0.2">
      <c r="A952" s="43"/>
      <c r="B952" s="43"/>
      <c r="C952" s="43"/>
      <c r="D952" s="43"/>
      <c r="E952" s="43"/>
      <c r="F952" s="43"/>
      <c r="G952" s="43"/>
    </row>
    <row r="953" spans="1:7" x14ac:dyDescent="0.2">
      <c r="A953" s="44"/>
      <c r="B953" s="44"/>
      <c r="C953" s="44"/>
      <c r="D953" s="44"/>
      <c r="E953" s="44"/>
      <c r="F953" s="44"/>
      <c r="G953" s="44"/>
    </row>
    <row r="954" spans="1:7" x14ac:dyDescent="0.2">
      <c r="A954" s="43"/>
      <c r="B954" s="43"/>
      <c r="C954" s="43"/>
      <c r="D954" s="43"/>
      <c r="E954" s="43"/>
      <c r="F954" s="43"/>
      <c r="G954" s="43"/>
    </row>
    <row r="955" spans="1:7" x14ac:dyDescent="0.2">
      <c r="A955" s="44"/>
      <c r="B955" s="44"/>
      <c r="C955" s="44"/>
      <c r="D955" s="44"/>
      <c r="E955" s="44"/>
      <c r="F955" s="44"/>
      <c r="G955" s="44"/>
    </row>
    <row r="956" spans="1:7" x14ac:dyDescent="0.2">
      <c r="A956" s="43"/>
      <c r="B956" s="43"/>
      <c r="C956" s="43"/>
      <c r="D956" s="43"/>
      <c r="E956" s="43"/>
      <c r="F956" s="43"/>
      <c r="G956" s="43"/>
    </row>
    <row r="957" spans="1:7" x14ac:dyDescent="0.2">
      <c r="A957" s="44"/>
      <c r="B957" s="44"/>
      <c r="C957" s="44"/>
      <c r="D957" s="44"/>
      <c r="E957" s="44"/>
      <c r="F957" s="44"/>
      <c r="G957" s="44"/>
    </row>
    <row r="958" spans="1:7" x14ac:dyDescent="0.2">
      <c r="A958" s="43"/>
      <c r="B958" s="43"/>
      <c r="C958" s="43"/>
      <c r="D958" s="43"/>
      <c r="E958" s="43"/>
      <c r="F958" s="43"/>
      <c r="G958" s="43"/>
    </row>
    <row r="959" spans="1:7" x14ac:dyDescent="0.2">
      <c r="A959" s="44"/>
      <c r="B959" s="44"/>
      <c r="C959" s="44"/>
      <c r="D959" s="44"/>
      <c r="E959" s="44"/>
      <c r="F959" s="44"/>
      <c r="G959" s="44"/>
    </row>
    <row r="960" spans="1:7" x14ac:dyDescent="0.2">
      <c r="A960" s="43"/>
      <c r="B960" s="43"/>
      <c r="C960" s="43"/>
      <c r="D960" s="43"/>
      <c r="E960" s="43"/>
      <c r="F960" s="43"/>
      <c r="G960" s="43"/>
    </row>
    <row r="961" spans="1:7" x14ac:dyDescent="0.2">
      <c r="A961" s="44"/>
      <c r="B961" s="44"/>
      <c r="C961" s="44"/>
      <c r="D961" s="44"/>
      <c r="E961" s="44"/>
      <c r="F961" s="44"/>
      <c r="G961" s="44"/>
    </row>
    <row r="962" spans="1:7" x14ac:dyDescent="0.2">
      <c r="A962" s="43"/>
      <c r="B962" s="43"/>
      <c r="C962" s="43"/>
      <c r="D962" s="43"/>
      <c r="E962" s="43"/>
      <c r="F962" s="43"/>
      <c r="G962" s="43"/>
    </row>
    <row r="963" spans="1:7" x14ac:dyDescent="0.2">
      <c r="A963" s="44"/>
      <c r="B963" s="44"/>
      <c r="C963" s="44"/>
      <c r="D963" s="44"/>
      <c r="E963" s="44"/>
      <c r="F963" s="44"/>
      <c r="G963" s="44"/>
    </row>
    <row r="964" spans="1:7" x14ac:dyDescent="0.2">
      <c r="A964" s="43"/>
      <c r="B964" s="43"/>
      <c r="C964" s="43"/>
      <c r="D964" s="43"/>
      <c r="E964" s="43"/>
      <c r="F964" s="43"/>
      <c r="G964" s="43"/>
    </row>
    <row r="965" spans="1:7" x14ac:dyDescent="0.2">
      <c r="A965" s="44"/>
      <c r="B965" s="44"/>
      <c r="C965" s="44"/>
      <c r="D965" s="44"/>
      <c r="E965" s="44"/>
      <c r="F965" s="44"/>
      <c r="G965" s="44"/>
    </row>
    <row r="966" spans="1:7" x14ac:dyDescent="0.2">
      <c r="A966" s="43"/>
      <c r="B966" s="43"/>
      <c r="C966" s="43"/>
      <c r="D966" s="43"/>
      <c r="E966" s="43"/>
      <c r="F966" s="43"/>
      <c r="G966" s="43"/>
    </row>
    <row r="967" spans="1:7" x14ac:dyDescent="0.2">
      <c r="A967" s="44"/>
      <c r="B967" s="44"/>
      <c r="C967" s="44"/>
      <c r="D967" s="44"/>
      <c r="E967" s="44"/>
      <c r="F967" s="44"/>
      <c r="G967" s="44"/>
    </row>
    <row r="968" spans="1:7" x14ac:dyDescent="0.2">
      <c r="A968" s="43"/>
      <c r="B968" s="43"/>
      <c r="C968" s="43"/>
      <c r="D968" s="43"/>
      <c r="E968" s="43"/>
      <c r="F968" s="43"/>
      <c r="G968" s="43"/>
    </row>
    <row r="969" spans="1:7" x14ac:dyDescent="0.2">
      <c r="A969" s="44"/>
      <c r="B969" s="44"/>
      <c r="C969" s="44"/>
      <c r="D969" s="44"/>
      <c r="E969" s="44"/>
      <c r="F969" s="44"/>
      <c r="G969" s="44"/>
    </row>
    <row r="970" spans="1:7" x14ac:dyDescent="0.2">
      <c r="A970" s="43"/>
      <c r="B970" s="43"/>
      <c r="C970" s="43"/>
      <c r="D970" s="43"/>
      <c r="E970" s="43"/>
      <c r="F970" s="43"/>
      <c r="G970" s="43"/>
    </row>
    <row r="971" spans="1:7" x14ac:dyDescent="0.2">
      <c r="A971" s="44"/>
      <c r="B971" s="44"/>
      <c r="C971" s="44"/>
      <c r="D971" s="44"/>
      <c r="E971" s="44"/>
      <c r="F971" s="44"/>
      <c r="G971" s="44"/>
    </row>
    <row r="972" spans="1:7" x14ac:dyDescent="0.2">
      <c r="A972" s="43"/>
      <c r="B972" s="43"/>
      <c r="C972" s="43"/>
      <c r="D972" s="43"/>
      <c r="E972" s="43"/>
      <c r="F972" s="43"/>
      <c r="G972" s="43"/>
    </row>
    <row r="973" spans="1:7" x14ac:dyDescent="0.2">
      <c r="A973" s="44"/>
      <c r="B973" s="44"/>
      <c r="C973" s="44"/>
      <c r="D973" s="44"/>
      <c r="E973" s="44"/>
      <c r="F973" s="44"/>
      <c r="G973" s="44"/>
    </row>
    <row r="974" spans="1:7" x14ac:dyDescent="0.2">
      <c r="A974" s="43"/>
      <c r="B974" s="43"/>
      <c r="C974" s="43"/>
      <c r="D974" s="43"/>
      <c r="E974" s="43"/>
      <c r="F974" s="43"/>
      <c r="G974" s="43"/>
    </row>
    <row r="975" spans="1:7" x14ac:dyDescent="0.2">
      <c r="A975" s="44"/>
      <c r="B975" s="44"/>
      <c r="C975" s="44"/>
      <c r="D975" s="44"/>
      <c r="E975" s="44"/>
      <c r="F975" s="44"/>
      <c r="G975" s="44"/>
    </row>
    <row r="976" spans="1:7" x14ac:dyDescent="0.2">
      <c r="A976" s="43"/>
      <c r="B976" s="43"/>
      <c r="C976" s="43"/>
      <c r="D976" s="43"/>
      <c r="E976" s="43"/>
      <c r="F976" s="43"/>
      <c r="G976" s="43"/>
    </row>
    <row r="977" spans="1:7" x14ac:dyDescent="0.2">
      <c r="A977" s="44"/>
      <c r="B977" s="44"/>
      <c r="C977" s="44"/>
      <c r="D977" s="44"/>
      <c r="E977" s="44"/>
      <c r="F977" s="44"/>
      <c r="G977" s="44"/>
    </row>
    <row r="978" spans="1:7" x14ac:dyDescent="0.2">
      <c r="A978" s="43"/>
      <c r="B978" s="43"/>
      <c r="C978" s="43"/>
      <c r="D978" s="43"/>
      <c r="E978" s="43"/>
      <c r="F978" s="43"/>
      <c r="G978" s="43"/>
    </row>
    <row r="979" spans="1:7" x14ac:dyDescent="0.2">
      <c r="A979" s="44"/>
      <c r="B979" s="44"/>
      <c r="C979" s="44"/>
      <c r="D979" s="44"/>
      <c r="E979" s="44"/>
      <c r="F979" s="44"/>
      <c r="G979" s="44"/>
    </row>
    <row r="980" spans="1:7" x14ac:dyDescent="0.2">
      <c r="A980" s="43"/>
      <c r="B980" s="43"/>
      <c r="C980" s="43"/>
      <c r="D980" s="43"/>
      <c r="E980" s="43"/>
      <c r="F980" s="43"/>
      <c r="G980" s="43"/>
    </row>
    <row r="981" spans="1:7" x14ac:dyDescent="0.2">
      <c r="A981" s="44"/>
      <c r="B981" s="44"/>
      <c r="C981" s="44"/>
      <c r="D981" s="44"/>
      <c r="E981" s="44"/>
      <c r="F981" s="44"/>
      <c r="G981" s="44"/>
    </row>
    <row r="982" spans="1:7" x14ac:dyDescent="0.2">
      <c r="A982" s="43"/>
      <c r="B982" s="43"/>
      <c r="C982" s="43"/>
      <c r="D982" s="43"/>
      <c r="E982" s="43"/>
      <c r="F982" s="43"/>
      <c r="G982" s="43"/>
    </row>
    <row r="983" spans="1:7" x14ac:dyDescent="0.2">
      <c r="A983" s="44"/>
      <c r="B983" s="44"/>
      <c r="C983" s="44"/>
      <c r="D983" s="44"/>
      <c r="E983" s="44"/>
      <c r="F983" s="44"/>
      <c r="G983" s="44"/>
    </row>
    <row r="984" spans="1:7" x14ac:dyDescent="0.2">
      <c r="A984" s="43"/>
      <c r="B984" s="43"/>
      <c r="C984" s="43"/>
      <c r="D984" s="43"/>
      <c r="E984" s="43"/>
      <c r="F984" s="43"/>
      <c r="G984" s="43"/>
    </row>
    <row r="985" spans="1:7" x14ac:dyDescent="0.2">
      <c r="A985" s="44"/>
      <c r="B985" s="44"/>
      <c r="C985" s="44"/>
      <c r="D985" s="44"/>
      <c r="E985" s="44"/>
      <c r="F985" s="44"/>
      <c r="G985" s="44"/>
    </row>
    <row r="986" spans="1:7" x14ac:dyDescent="0.2">
      <c r="A986" s="43"/>
      <c r="B986" s="43"/>
      <c r="C986" s="43"/>
      <c r="D986" s="43"/>
      <c r="E986" s="43"/>
      <c r="F986" s="43"/>
      <c r="G986" s="43"/>
    </row>
    <row r="987" spans="1:7" x14ac:dyDescent="0.2">
      <c r="A987" s="44"/>
      <c r="B987" s="44"/>
      <c r="C987" s="44"/>
      <c r="D987" s="44"/>
      <c r="E987" s="44"/>
      <c r="F987" s="44"/>
      <c r="G987" s="44"/>
    </row>
    <row r="988" spans="1:7" x14ac:dyDescent="0.2">
      <c r="A988" s="43"/>
      <c r="B988" s="43"/>
      <c r="C988" s="43"/>
      <c r="D988" s="43"/>
      <c r="E988" s="43"/>
      <c r="F988" s="43"/>
      <c r="G988" s="43"/>
    </row>
    <row r="989" spans="1:7" x14ac:dyDescent="0.2">
      <c r="A989" s="44"/>
      <c r="B989" s="44"/>
      <c r="C989" s="44"/>
      <c r="D989" s="44"/>
      <c r="E989" s="44"/>
      <c r="F989" s="44"/>
      <c r="G989" s="44"/>
    </row>
    <row r="990" spans="1:7" x14ac:dyDescent="0.2">
      <c r="A990" s="43"/>
      <c r="B990" s="43"/>
      <c r="C990" s="43"/>
      <c r="D990" s="43"/>
      <c r="E990" s="43"/>
      <c r="F990" s="43"/>
      <c r="G990" s="43"/>
    </row>
    <row r="991" spans="1:7" x14ac:dyDescent="0.2">
      <c r="A991" s="44"/>
      <c r="B991" s="44"/>
      <c r="C991" s="44"/>
      <c r="D991" s="44"/>
      <c r="E991" s="44"/>
      <c r="F991" s="44"/>
      <c r="G991" s="44"/>
    </row>
    <row r="992" spans="1:7" x14ac:dyDescent="0.2">
      <c r="A992" s="43"/>
      <c r="B992" s="43"/>
      <c r="C992" s="43"/>
      <c r="D992" s="43"/>
      <c r="E992" s="43"/>
      <c r="F992" s="43"/>
      <c r="G992" s="43"/>
    </row>
    <row r="993" spans="1:7" x14ac:dyDescent="0.2">
      <c r="A993" s="44"/>
      <c r="B993" s="44"/>
      <c r="C993" s="44"/>
      <c r="D993" s="44"/>
      <c r="E993" s="44"/>
      <c r="F993" s="44"/>
      <c r="G993" s="44"/>
    </row>
    <row r="994" spans="1:7" x14ac:dyDescent="0.2">
      <c r="A994" s="43"/>
      <c r="B994" s="43"/>
      <c r="C994" s="43"/>
      <c r="D994" s="43"/>
      <c r="E994" s="43"/>
      <c r="F994" s="43"/>
      <c r="G994" s="43"/>
    </row>
    <row r="995" spans="1:7" x14ac:dyDescent="0.2">
      <c r="A995" s="44"/>
      <c r="B995" s="44"/>
      <c r="C995" s="44"/>
      <c r="D995" s="44"/>
      <c r="E995" s="44"/>
      <c r="F995" s="44"/>
      <c r="G995" s="44"/>
    </row>
    <row r="996" spans="1:7" x14ac:dyDescent="0.2">
      <c r="A996" s="43"/>
      <c r="B996" s="43"/>
      <c r="C996" s="43"/>
      <c r="D996" s="43"/>
      <c r="E996" s="43"/>
      <c r="F996" s="43"/>
      <c r="G996" s="43"/>
    </row>
    <row r="997" spans="1:7" x14ac:dyDescent="0.2">
      <c r="A997" s="44"/>
      <c r="B997" s="44"/>
      <c r="C997" s="44"/>
      <c r="D997" s="44"/>
      <c r="E997" s="44"/>
      <c r="F997" s="44"/>
      <c r="G997" s="44"/>
    </row>
    <row r="998" spans="1:7" x14ac:dyDescent="0.2">
      <c r="A998" s="43"/>
      <c r="B998" s="43"/>
      <c r="C998" s="43"/>
      <c r="D998" s="43"/>
      <c r="E998" s="43"/>
      <c r="F998" s="43"/>
      <c r="G998" s="43"/>
    </row>
    <row r="999" spans="1:7" x14ac:dyDescent="0.2">
      <c r="A999" s="44"/>
      <c r="B999" s="44"/>
      <c r="C999" s="44"/>
      <c r="D999" s="44"/>
      <c r="E999" s="44"/>
      <c r="F999" s="44"/>
      <c r="G999" s="44"/>
    </row>
    <row r="1000" spans="1:7" x14ac:dyDescent="0.2">
      <c r="A1000" s="43"/>
      <c r="B1000" s="43"/>
      <c r="C1000" s="43"/>
      <c r="D1000" s="43"/>
      <c r="E1000" s="43"/>
      <c r="F1000" s="43"/>
      <c r="G1000" s="43"/>
    </row>
    <row r="1001" spans="1:7" x14ac:dyDescent="0.2">
      <c r="A1001" s="44"/>
      <c r="B1001" s="44"/>
      <c r="C1001" s="44"/>
      <c r="D1001" s="44"/>
      <c r="E1001" s="44"/>
      <c r="F1001" s="44"/>
      <c r="G1001" s="44"/>
    </row>
    <row r="1002" spans="1:7" x14ac:dyDescent="0.2">
      <c r="A1002" s="43"/>
      <c r="B1002" s="43"/>
      <c r="C1002" s="43"/>
      <c r="D1002" s="43"/>
      <c r="E1002" s="43"/>
      <c r="F1002" s="43"/>
      <c r="G1002" s="43"/>
    </row>
    <row r="1003" spans="1:7" x14ac:dyDescent="0.2">
      <c r="A1003" s="44"/>
      <c r="B1003" s="44"/>
      <c r="C1003" s="44"/>
      <c r="D1003" s="44"/>
      <c r="E1003" s="44"/>
      <c r="F1003" s="44"/>
      <c r="G1003" s="44"/>
    </row>
    <row r="1004" spans="1:7" x14ac:dyDescent="0.2">
      <c r="A1004" s="43"/>
      <c r="B1004" s="43"/>
      <c r="C1004" s="43"/>
      <c r="D1004" s="43"/>
      <c r="E1004" s="43"/>
      <c r="F1004" s="43"/>
      <c r="G1004" s="43"/>
    </row>
    <row r="1005" spans="1:7" x14ac:dyDescent="0.2">
      <c r="A1005" s="44"/>
      <c r="B1005" s="44"/>
      <c r="C1005" s="44"/>
      <c r="D1005" s="44"/>
      <c r="E1005" s="44"/>
      <c r="F1005" s="44"/>
      <c r="G1005" s="44"/>
    </row>
    <row r="1006" spans="1:7" x14ac:dyDescent="0.2">
      <c r="A1006" s="43"/>
      <c r="B1006" s="43"/>
      <c r="C1006" s="43"/>
      <c r="D1006" s="43"/>
      <c r="E1006" s="43"/>
      <c r="F1006" s="43"/>
      <c r="G1006" s="43"/>
    </row>
    <row r="1007" spans="1:7" x14ac:dyDescent="0.2">
      <c r="A1007" s="44"/>
      <c r="B1007" s="44"/>
      <c r="C1007" s="44"/>
      <c r="D1007" s="44"/>
      <c r="E1007" s="44"/>
      <c r="F1007" s="44"/>
      <c r="G1007" s="44"/>
    </row>
    <row r="1008" spans="1:7" x14ac:dyDescent="0.2">
      <c r="A1008" s="43"/>
      <c r="B1008" s="43"/>
      <c r="C1008" s="43"/>
      <c r="D1008" s="43"/>
      <c r="E1008" s="43"/>
      <c r="F1008" s="43"/>
      <c r="G1008" s="43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G1008"/>
  <sheetViews>
    <sheetView topLeftCell="A6" zoomScale="110" workbookViewId="0">
      <selection activeCell="J9" sqref="J9"/>
    </sheetView>
  </sheetViews>
  <sheetFormatPr baseColWidth="10" defaultColWidth="9" defaultRowHeight="15" x14ac:dyDescent="0.2"/>
  <cols>
    <col min="1" max="1" width="12" style="41" bestFit="1" customWidth="1"/>
    <col min="2" max="16384" width="9" style="41"/>
  </cols>
  <sheetData>
    <row r="1" spans="1:33" x14ac:dyDescent="0.2">
      <c r="A1" s="40" t="s">
        <v>105</v>
      </c>
      <c r="B1" s="40" t="s">
        <v>304</v>
      </c>
      <c r="G1" s="42" t="s">
        <v>111</v>
      </c>
    </row>
    <row r="3" spans="1:33" x14ac:dyDescent="0.2">
      <c r="A3" s="42" t="s">
        <v>106</v>
      </c>
    </row>
    <row r="4" spans="1:33" x14ac:dyDescent="0.2">
      <c r="A4" s="43" t="s">
        <v>86</v>
      </c>
      <c r="B4" s="43" t="s">
        <v>112</v>
      </c>
      <c r="C4" s="43" t="s">
        <v>113</v>
      </c>
      <c r="D4" s="43" t="s">
        <v>114</v>
      </c>
      <c r="E4" s="43"/>
      <c r="F4" s="43"/>
      <c r="G4" s="43"/>
      <c r="H4" s="43"/>
      <c r="I4" s="43"/>
      <c r="J4" s="43"/>
      <c r="K4" s="43"/>
      <c r="L4" s="43"/>
    </row>
    <row r="5" spans="1:33" x14ac:dyDescent="0.2">
      <c r="A5" s="42" t="s">
        <v>107</v>
      </c>
    </row>
    <row r="6" spans="1:33" x14ac:dyDescent="0.2">
      <c r="A6" s="45" t="s">
        <v>108</v>
      </c>
      <c r="B6" s="44" t="s">
        <v>109</v>
      </c>
      <c r="C6" s="44"/>
      <c r="D6" s="44"/>
      <c r="E6" s="44"/>
      <c r="F6" s="44"/>
      <c r="G6" s="44"/>
      <c r="H6" s="44"/>
      <c r="I6" s="44"/>
      <c r="J6" s="44"/>
      <c r="K6" s="44"/>
      <c r="L6" s="44"/>
    </row>
    <row r="7" spans="1:33" x14ac:dyDescent="0.2">
      <c r="R7" s="41" t="s">
        <v>363</v>
      </c>
      <c r="U7" s="41" t="s">
        <v>360</v>
      </c>
      <c r="X7" s="41" t="s">
        <v>361</v>
      </c>
      <c r="AE7" s="41" t="s">
        <v>364</v>
      </c>
    </row>
    <row r="8" spans="1:33" x14ac:dyDescent="0.2">
      <c r="A8" s="40" t="s">
        <v>86</v>
      </c>
      <c r="B8" s="40" t="s">
        <v>112</v>
      </c>
      <c r="C8" s="40" t="s">
        <v>113</v>
      </c>
      <c r="D8" s="40" t="s">
        <v>114</v>
      </c>
      <c r="E8" s="40" t="s">
        <v>304</v>
      </c>
      <c r="F8" s="40" t="s">
        <v>108</v>
      </c>
      <c r="G8" s="40" t="s">
        <v>109</v>
      </c>
      <c r="J8" s="42" t="s">
        <v>115</v>
      </c>
      <c r="N8" s="41" t="s">
        <v>211</v>
      </c>
      <c r="R8" s="41" t="s">
        <v>359</v>
      </c>
      <c r="S8" s="41" t="s">
        <v>314</v>
      </c>
      <c r="T8" s="41" t="s">
        <v>315</v>
      </c>
      <c r="U8" s="41" t="s">
        <v>359</v>
      </c>
      <c r="V8" s="41" t="s">
        <v>314</v>
      </c>
      <c r="W8" s="41" t="s">
        <v>315</v>
      </c>
      <c r="X8" s="41" t="s">
        <v>109</v>
      </c>
      <c r="Y8" s="41" t="s">
        <v>353</v>
      </c>
      <c r="Z8" s="41" t="s">
        <v>71</v>
      </c>
      <c r="AA8" s="41" t="s">
        <v>354</v>
      </c>
      <c r="AB8" s="41" t="s">
        <v>355</v>
      </c>
      <c r="AC8" s="41" t="s">
        <v>356</v>
      </c>
      <c r="AD8" s="41" t="s">
        <v>357</v>
      </c>
      <c r="AE8" s="41" t="s">
        <v>354</v>
      </c>
      <c r="AF8" s="41" t="s">
        <v>356</v>
      </c>
      <c r="AG8" s="41" t="s">
        <v>357</v>
      </c>
    </row>
    <row r="9" spans="1:33" x14ac:dyDescent="0.2">
      <c r="A9" s="44">
        <v>2015</v>
      </c>
      <c r="B9" s="44" t="s">
        <v>351</v>
      </c>
      <c r="C9" s="44" t="s">
        <v>44</v>
      </c>
      <c r="D9" s="44" t="s">
        <v>116</v>
      </c>
      <c r="E9" s="44">
        <v>0.55569999999999997</v>
      </c>
      <c r="F9" s="44"/>
      <c r="G9" s="44">
        <v>377.71012911642998</v>
      </c>
      <c r="J9" s="41" t="s">
        <v>367</v>
      </c>
      <c r="M9" s="41">
        <v>2015.5</v>
      </c>
      <c r="N9" s="41" t="s">
        <v>351</v>
      </c>
      <c r="O9" s="41" t="s">
        <v>358</v>
      </c>
      <c r="P9" s="41" t="s">
        <v>44</v>
      </c>
      <c r="Q9" s="41" t="s">
        <v>116</v>
      </c>
      <c r="R9" s="41">
        <v>55.57</v>
      </c>
      <c r="S9" s="41">
        <v>50.58</v>
      </c>
      <c r="T9" s="41">
        <v>60.57</v>
      </c>
      <c r="U9" s="41">
        <f t="shared" ref="U9:U30" si="0">R9/100</f>
        <v>0.55569999999999997</v>
      </c>
      <c r="V9" s="41">
        <f t="shared" ref="V9:V30" si="1">S9/100</f>
        <v>0.50580000000000003</v>
      </c>
      <c r="W9" s="41">
        <f t="shared" ref="W9:W30" si="2">T9/100</f>
        <v>0.60570000000000002</v>
      </c>
      <c r="X9" s="41">
        <v>377.71012911642998</v>
      </c>
      <c r="Y9" s="41">
        <f>U9*X9</f>
        <v>209.89351875000014</v>
      </c>
      <c r="Z9" s="41">
        <f>(1-U9)*X9</f>
        <v>167.81661036642984</v>
      </c>
      <c r="AA9" s="41">
        <f t="shared" ref="AA9" si="3">Y9/(Y9+Z9)</f>
        <v>0.55569999999999997</v>
      </c>
      <c r="AB9" s="41">
        <f>BETAINV(0.5,Y9,Z9)</f>
        <v>0.5557984149738967</v>
      </c>
      <c r="AC9" s="41">
        <f>BETAINV(0.025,Y9,Z9)</f>
        <v>0.50540512180334562</v>
      </c>
      <c r="AD9" s="41">
        <f>BETAINV(0.975,Y9,Z9)</f>
        <v>0.60543610262902448</v>
      </c>
      <c r="AE9" s="41">
        <f>(U9-AA9)*100</f>
        <v>0</v>
      </c>
      <c r="AF9" s="41">
        <f>(V9-AC9)*100</f>
        <v>3.9487819665440238E-2</v>
      </c>
      <c r="AG9" s="41">
        <f>(W9-AD9)*100</f>
        <v>2.63897370975541E-2</v>
      </c>
    </row>
    <row r="10" spans="1:33" x14ac:dyDescent="0.2">
      <c r="A10" s="43">
        <v>2015</v>
      </c>
      <c r="B10" s="43" t="s">
        <v>351</v>
      </c>
      <c r="C10" s="44" t="s">
        <v>43</v>
      </c>
      <c r="D10" s="43" t="s">
        <v>116</v>
      </c>
      <c r="E10" s="43">
        <v>0.68790000000000007</v>
      </c>
      <c r="F10" s="43"/>
      <c r="G10" s="43">
        <v>975.52700928550701</v>
      </c>
      <c r="J10" s="41" t="s">
        <v>368</v>
      </c>
      <c r="M10" s="41">
        <v>2015.5</v>
      </c>
      <c r="N10" s="41" t="s">
        <v>351</v>
      </c>
      <c r="O10" s="41" t="s">
        <v>358</v>
      </c>
      <c r="P10" s="41" t="s">
        <v>43</v>
      </c>
      <c r="Q10" s="41" t="s">
        <v>116</v>
      </c>
      <c r="R10" s="41">
        <v>68.790000000000006</v>
      </c>
      <c r="S10" s="41">
        <v>65.89</v>
      </c>
      <c r="T10" s="41">
        <v>71.7</v>
      </c>
      <c r="U10" s="41">
        <f t="shared" si="0"/>
        <v>0.68790000000000007</v>
      </c>
      <c r="V10" s="41">
        <f t="shared" si="1"/>
        <v>0.65890000000000004</v>
      </c>
      <c r="W10" s="41">
        <f t="shared" si="2"/>
        <v>0.71700000000000008</v>
      </c>
      <c r="X10" s="41">
        <v>975.52700928550701</v>
      </c>
      <c r="Y10" s="41">
        <f t="shared" ref="Y10:Y30" si="4">U10*X10</f>
        <v>671.06502968750033</v>
      </c>
      <c r="Z10" s="41">
        <f t="shared" ref="Z10:Z30" si="5">(1-U10)*X10</f>
        <v>304.46197959800668</v>
      </c>
      <c r="AA10" s="41">
        <f t="shared" ref="AA10:AA30" si="6">Y10/(Y10+Z10)</f>
        <v>0.68790000000000007</v>
      </c>
      <c r="AB10" s="41">
        <f t="shared" ref="AB10:AB30" si="7">BETAINV(0.5,Y10,Z10)</f>
        <v>0.68802845671008106</v>
      </c>
      <c r="AC10" s="41">
        <f t="shared" ref="AC10:AC30" si="8">BETAINV(0.025,Y10,Z10)</f>
        <v>0.65848179283099006</v>
      </c>
      <c r="AD10" s="41">
        <f t="shared" ref="AD10:AD30" si="9">BETAINV(0.975,Y10,Z10)</f>
        <v>0.71658846035739299</v>
      </c>
      <c r="AE10" s="41">
        <f t="shared" ref="AE10:AE30" si="10">(U10-AA10)*100</f>
        <v>0</v>
      </c>
      <c r="AF10" s="41">
        <f t="shared" ref="AF10:AF30" si="11">(V10-AC10)*100</f>
        <v>4.1820716900997645E-2</v>
      </c>
      <c r="AG10" s="41">
        <f t="shared" ref="AG10:AG30" si="12">(W10-AD10)*100</f>
        <v>4.1153964260709497E-2</v>
      </c>
    </row>
    <row r="11" spans="1:33" x14ac:dyDescent="0.2">
      <c r="A11" s="44">
        <v>2015</v>
      </c>
      <c r="B11" s="44" t="s">
        <v>351</v>
      </c>
      <c r="C11" s="44" t="s">
        <v>44</v>
      </c>
      <c r="D11" s="44" t="s">
        <v>117</v>
      </c>
      <c r="E11" s="44">
        <v>0.37200000000000005</v>
      </c>
      <c r="F11" s="44"/>
      <c r="G11" s="44">
        <v>9.8800908570648502</v>
      </c>
      <c r="M11" s="41">
        <v>2015.5</v>
      </c>
      <c r="N11" s="41" t="s">
        <v>351</v>
      </c>
      <c r="O11" s="41" t="s">
        <v>291</v>
      </c>
      <c r="P11" s="41" t="s">
        <v>44</v>
      </c>
      <c r="Q11" s="41" t="s">
        <v>117</v>
      </c>
      <c r="R11" s="41">
        <v>37.200000000000003</v>
      </c>
      <c r="S11" s="49">
        <v>9.98</v>
      </c>
      <c r="T11" s="49">
        <v>64.42</v>
      </c>
      <c r="U11" s="41">
        <f t="shared" si="0"/>
        <v>0.37200000000000005</v>
      </c>
      <c r="V11" s="41">
        <f t="shared" si="1"/>
        <v>9.98E-2</v>
      </c>
      <c r="W11" s="41">
        <f t="shared" si="2"/>
        <v>0.64419999999999999</v>
      </c>
      <c r="X11" s="41">
        <v>9.8800908570648502</v>
      </c>
      <c r="Y11" s="41">
        <f t="shared" si="4"/>
        <v>3.6753937988281247</v>
      </c>
      <c r="Z11" s="41">
        <f t="shared" si="5"/>
        <v>6.2046970582367251</v>
      </c>
      <c r="AA11" s="41">
        <f t="shared" si="6"/>
        <v>0.37200000000000005</v>
      </c>
      <c r="AB11" s="41">
        <f t="shared" si="7"/>
        <v>0.36304578619724887</v>
      </c>
      <c r="AC11" s="41">
        <f t="shared" si="8"/>
        <v>0.11709832058152166</v>
      </c>
      <c r="AD11" s="41">
        <f t="shared" si="9"/>
        <v>0.67567877784474017</v>
      </c>
      <c r="AE11" s="41">
        <f t="shared" si="10"/>
        <v>0</v>
      </c>
      <c r="AF11" s="41">
        <f t="shared" si="11"/>
        <v>-1.7298320581521656</v>
      </c>
      <c r="AG11" s="41">
        <f t="shared" si="12"/>
        <v>-3.147877784474018</v>
      </c>
    </row>
    <row r="12" spans="1:33" x14ac:dyDescent="0.2">
      <c r="A12" s="43">
        <v>2015</v>
      </c>
      <c r="B12" s="43" t="s">
        <v>351</v>
      </c>
      <c r="C12" s="44" t="s">
        <v>44</v>
      </c>
      <c r="D12" s="43" t="s">
        <v>118</v>
      </c>
      <c r="E12" s="43">
        <v>0.2311</v>
      </c>
      <c r="F12" s="43"/>
      <c r="G12" s="43">
        <v>21.878279576617299</v>
      </c>
      <c r="M12" s="41">
        <v>2015.5</v>
      </c>
      <c r="N12" s="41" t="s">
        <v>351</v>
      </c>
      <c r="O12" s="41" t="s">
        <v>292</v>
      </c>
      <c r="P12" s="41" t="s">
        <v>44</v>
      </c>
      <c r="Q12" s="41" t="s">
        <v>118</v>
      </c>
      <c r="R12" s="41">
        <v>23.11</v>
      </c>
      <c r="S12" s="49">
        <v>5.84</v>
      </c>
      <c r="T12" s="49">
        <v>40.39</v>
      </c>
      <c r="U12" s="41">
        <f t="shared" si="0"/>
        <v>0.2311</v>
      </c>
      <c r="V12" s="41">
        <f t="shared" si="1"/>
        <v>5.8400000000000001E-2</v>
      </c>
      <c r="W12" s="41">
        <f t="shared" si="2"/>
        <v>0.40389999999999998</v>
      </c>
      <c r="X12" s="41">
        <v>21.878279576617299</v>
      </c>
      <c r="Y12" s="41">
        <f t="shared" si="4"/>
        <v>5.0560704101562575</v>
      </c>
      <c r="Z12" s="41">
        <f t="shared" si="5"/>
        <v>16.822209166461043</v>
      </c>
      <c r="AA12" s="41">
        <f t="shared" si="6"/>
        <v>0.23109999999999994</v>
      </c>
      <c r="AB12" s="41">
        <f t="shared" si="7"/>
        <v>0.22280182991962469</v>
      </c>
      <c r="AC12" s="41">
        <f t="shared" si="8"/>
        <v>8.4343436780888251E-2</v>
      </c>
      <c r="AD12" s="41">
        <f t="shared" si="9"/>
        <v>0.42416402130604125</v>
      </c>
      <c r="AE12" s="41">
        <f t="shared" si="10"/>
        <v>5.5511151231257827E-15</v>
      </c>
      <c r="AF12" s="41">
        <f t="shared" si="11"/>
        <v>-2.5943436780888249</v>
      </c>
      <c r="AG12" s="41">
        <f t="shared" si="12"/>
        <v>-2.0264021306041267</v>
      </c>
    </row>
    <row r="13" spans="1:33" x14ac:dyDescent="0.2">
      <c r="A13" s="44">
        <v>2015</v>
      </c>
      <c r="B13" s="44" t="s">
        <v>351</v>
      </c>
      <c r="C13" s="44" t="s">
        <v>44</v>
      </c>
      <c r="D13" s="44" t="s">
        <v>119</v>
      </c>
      <c r="E13" s="44">
        <v>0.31719999999999998</v>
      </c>
      <c r="F13" s="44"/>
      <c r="G13" s="44">
        <v>28.740688328785101</v>
      </c>
      <c r="J13" s="41" t="s">
        <v>211</v>
      </c>
      <c r="M13" s="41">
        <v>2015.5</v>
      </c>
      <c r="N13" s="41" t="s">
        <v>351</v>
      </c>
      <c r="O13" s="41" t="s">
        <v>293</v>
      </c>
      <c r="P13" s="41" t="s">
        <v>44</v>
      </c>
      <c r="Q13" s="41" t="s">
        <v>119</v>
      </c>
      <c r="R13" s="41">
        <v>31.72</v>
      </c>
      <c r="S13" s="49">
        <v>15.24</v>
      </c>
      <c r="T13" s="49">
        <v>48.19</v>
      </c>
      <c r="U13" s="41">
        <f t="shared" si="0"/>
        <v>0.31719999999999998</v>
      </c>
      <c r="V13" s="41">
        <f t="shared" si="1"/>
        <v>0.15240000000000001</v>
      </c>
      <c r="W13" s="41">
        <f t="shared" si="2"/>
        <v>0.4819</v>
      </c>
      <c r="X13" s="41">
        <v>28.740688328785101</v>
      </c>
      <c r="Y13" s="41">
        <f t="shared" si="4"/>
        <v>9.1165463378906342</v>
      </c>
      <c r="Z13" s="41">
        <f t="shared" si="5"/>
        <v>19.624141990894469</v>
      </c>
      <c r="AA13" s="41">
        <f t="shared" si="6"/>
        <v>0.31719999999999998</v>
      </c>
      <c r="AB13" s="41">
        <f t="shared" si="7"/>
        <v>0.31290753330896809</v>
      </c>
      <c r="AC13" s="41">
        <f t="shared" si="8"/>
        <v>0.16359010097220122</v>
      </c>
      <c r="AD13" s="41">
        <f t="shared" si="9"/>
        <v>0.49488841225476243</v>
      </c>
      <c r="AE13" s="41">
        <f t="shared" si="10"/>
        <v>0</v>
      </c>
      <c r="AF13" s="41">
        <f t="shared" si="11"/>
        <v>-1.1190100972201216</v>
      </c>
      <c r="AG13" s="41">
        <f t="shared" si="12"/>
        <v>-1.2988412254762438</v>
      </c>
    </row>
    <row r="14" spans="1:33" x14ac:dyDescent="0.2">
      <c r="A14" s="43">
        <v>2015</v>
      </c>
      <c r="B14" s="43" t="s">
        <v>351</v>
      </c>
      <c r="C14" s="44" t="s">
        <v>44</v>
      </c>
      <c r="D14" s="43" t="s">
        <v>120</v>
      </c>
      <c r="E14" s="43">
        <v>0.48609999999999998</v>
      </c>
      <c r="F14" s="43"/>
      <c r="G14" s="43">
        <v>74.807396802998397</v>
      </c>
      <c r="J14" s="41" t="s">
        <v>211</v>
      </c>
      <c r="M14" s="41">
        <v>2015.5</v>
      </c>
      <c r="N14" s="41" t="s">
        <v>351</v>
      </c>
      <c r="O14" s="41" t="s">
        <v>294</v>
      </c>
      <c r="P14" s="41" t="s">
        <v>44</v>
      </c>
      <c r="Q14" s="41" t="s">
        <v>120</v>
      </c>
      <c r="R14" s="41">
        <v>48.61</v>
      </c>
      <c r="S14" s="49">
        <v>37.46</v>
      </c>
      <c r="T14" s="49">
        <v>59.75</v>
      </c>
      <c r="U14" s="41">
        <f t="shared" si="0"/>
        <v>0.48609999999999998</v>
      </c>
      <c r="V14" s="41">
        <f t="shared" si="1"/>
        <v>0.37459999999999999</v>
      </c>
      <c r="W14" s="41">
        <f t="shared" si="2"/>
        <v>0.59750000000000003</v>
      </c>
      <c r="X14" s="41">
        <v>74.807396802998397</v>
      </c>
      <c r="Y14" s="41">
        <f t="shared" si="4"/>
        <v>36.363875585937521</v>
      </c>
      <c r="Z14" s="41">
        <f t="shared" si="5"/>
        <v>38.443521217060876</v>
      </c>
      <c r="AA14" s="41">
        <f t="shared" si="6"/>
        <v>0.48609999999999998</v>
      </c>
      <c r="AB14" s="41">
        <f t="shared" si="7"/>
        <v>0.48597546688589854</v>
      </c>
      <c r="AC14" s="41">
        <f t="shared" si="8"/>
        <v>0.3742676681913833</v>
      </c>
      <c r="AD14" s="41">
        <f t="shared" si="9"/>
        <v>0.59863673847982124</v>
      </c>
      <c r="AE14" s="41">
        <f t="shared" si="10"/>
        <v>0</v>
      </c>
      <c r="AF14" s="41">
        <f t="shared" si="11"/>
        <v>3.3233180861669265E-2</v>
      </c>
      <c r="AG14" s="41">
        <f t="shared" si="12"/>
        <v>-0.11367384798212088</v>
      </c>
    </row>
    <row r="15" spans="1:33" x14ac:dyDescent="0.2">
      <c r="A15" s="44">
        <v>2015</v>
      </c>
      <c r="B15" s="44" t="s">
        <v>351</v>
      </c>
      <c r="C15" s="44" t="s">
        <v>44</v>
      </c>
      <c r="D15" s="44" t="s">
        <v>121</v>
      </c>
      <c r="E15" s="44">
        <v>0.59640000000000004</v>
      </c>
      <c r="F15" s="44"/>
      <c r="G15" s="44">
        <v>84.504481969944706</v>
      </c>
      <c r="M15" s="41">
        <v>2015.5</v>
      </c>
      <c r="N15" s="41" t="s">
        <v>351</v>
      </c>
      <c r="O15" s="41" t="s">
        <v>295</v>
      </c>
      <c r="P15" s="41" t="s">
        <v>44</v>
      </c>
      <c r="Q15" s="41" t="s">
        <v>121</v>
      </c>
      <c r="R15" s="41">
        <v>59.64</v>
      </c>
      <c r="S15" s="49">
        <v>49.32</v>
      </c>
      <c r="T15" s="49">
        <v>69.959999999999994</v>
      </c>
      <c r="U15" s="41">
        <f t="shared" si="0"/>
        <v>0.59640000000000004</v>
      </c>
      <c r="V15" s="41">
        <f t="shared" si="1"/>
        <v>0.49320000000000003</v>
      </c>
      <c r="W15" s="41">
        <f t="shared" si="2"/>
        <v>0.69959999999999989</v>
      </c>
      <c r="X15" s="41">
        <v>84.504481969944706</v>
      </c>
      <c r="Y15" s="41">
        <f t="shared" si="4"/>
        <v>50.398473046875026</v>
      </c>
      <c r="Z15" s="41">
        <f t="shared" si="5"/>
        <v>34.10600892306968</v>
      </c>
      <c r="AA15" s="41">
        <f t="shared" si="6"/>
        <v>0.59640000000000004</v>
      </c>
      <c r="AB15" s="41">
        <f t="shared" si="7"/>
        <v>0.59716401339946701</v>
      </c>
      <c r="AC15" s="41">
        <f t="shared" si="8"/>
        <v>0.49052860577593393</v>
      </c>
      <c r="AD15" s="41">
        <f t="shared" si="9"/>
        <v>0.69794757289085396</v>
      </c>
      <c r="AE15" s="41">
        <f t="shared" si="10"/>
        <v>0</v>
      </c>
      <c r="AF15" s="41">
        <f t="shared" si="11"/>
        <v>0.26713942240660926</v>
      </c>
      <c r="AG15" s="41">
        <f t="shared" si="12"/>
        <v>0.16524271091459264</v>
      </c>
    </row>
    <row r="16" spans="1:33" x14ac:dyDescent="0.2">
      <c r="A16" s="43">
        <v>2015</v>
      </c>
      <c r="B16" s="43" t="s">
        <v>351</v>
      </c>
      <c r="C16" s="44" t="s">
        <v>44</v>
      </c>
      <c r="D16" s="43" t="s">
        <v>122</v>
      </c>
      <c r="E16" s="43">
        <v>0.67409999999999992</v>
      </c>
      <c r="F16" s="43"/>
      <c r="G16" s="43">
        <v>74.467738813788799</v>
      </c>
      <c r="M16" s="41">
        <v>2015.5</v>
      </c>
      <c r="N16" s="41" t="s">
        <v>351</v>
      </c>
      <c r="O16" s="41" t="s">
        <v>296</v>
      </c>
      <c r="P16" s="41" t="s">
        <v>44</v>
      </c>
      <c r="Q16" s="41" t="s">
        <v>122</v>
      </c>
      <c r="R16" s="41">
        <v>67.41</v>
      </c>
      <c r="S16" s="49">
        <v>56.91</v>
      </c>
      <c r="T16" s="49">
        <v>77.92</v>
      </c>
      <c r="U16" s="41">
        <f t="shared" si="0"/>
        <v>0.67409999999999992</v>
      </c>
      <c r="V16" s="41">
        <f t="shared" si="1"/>
        <v>0.56909999999999994</v>
      </c>
      <c r="W16" s="41">
        <f t="shared" si="2"/>
        <v>0.7792</v>
      </c>
      <c r="X16" s="41">
        <v>74.467738813788799</v>
      </c>
      <c r="Y16" s="41">
        <f t="shared" si="4"/>
        <v>50.198702734375026</v>
      </c>
      <c r="Z16" s="41">
        <f t="shared" si="5"/>
        <v>24.269036079413777</v>
      </c>
      <c r="AA16" s="41">
        <f t="shared" si="6"/>
        <v>0.67409999999999992</v>
      </c>
      <c r="AB16" s="41">
        <f t="shared" si="7"/>
        <v>0.67566623613409382</v>
      </c>
      <c r="AC16" s="41">
        <f t="shared" si="8"/>
        <v>0.56429759616391695</v>
      </c>
      <c r="AD16" s="41">
        <f t="shared" si="9"/>
        <v>0.77504424853107279</v>
      </c>
      <c r="AE16" s="41">
        <f t="shared" si="10"/>
        <v>0</v>
      </c>
      <c r="AF16" s="41">
        <f t="shared" si="11"/>
        <v>0.48024038360829913</v>
      </c>
      <c r="AG16" s="41">
        <f t="shared" si="12"/>
        <v>0.41557514689272157</v>
      </c>
    </row>
    <row r="17" spans="1:33" x14ac:dyDescent="0.2">
      <c r="A17" s="44">
        <v>2015</v>
      </c>
      <c r="B17" s="44" t="s">
        <v>351</v>
      </c>
      <c r="C17" s="44" t="s">
        <v>44</v>
      </c>
      <c r="D17" s="44" t="s">
        <v>123</v>
      </c>
      <c r="E17" s="44">
        <v>0.71060000000000001</v>
      </c>
      <c r="F17" s="44"/>
      <c r="G17" s="44">
        <v>62.517447293660297</v>
      </c>
      <c r="M17" s="41">
        <v>2015.5</v>
      </c>
      <c r="N17" s="41" t="s">
        <v>351</v>
      </c>
      <c r="O17" s="41" t="s">
        <v>297</v>
      </c>
      <c r="P17" s="41" t="s">
        <v>44</v>
      </c>
      <c r="Q17" s="41" t="s">
        <v>123</v>
      </c>
      <c r="R17" s="41">
        <v>71.06</v>
      </c>
      <c r="S17" s="49">
        <v>59.97</v>
      </c>
      <c r="T17" s="49">
        <v>82.15</v>
      </c>
      <c r="U17" s="41">
        <f t="shared" si="0"/>
        <v>0.71060000000000001</v>
      </c>
      <c r="V17" s="41">
        <f t="shared" si="1"/>
        <v>0.59970000000000001</v>
      </c>
      <c r="W17" s="41">
        <f t="shared" si="2"/>
        <v>0.82150000000000001</v>
      </c>
      <c r="X17" s="41">
        <v>62.517447293660297</v>
      </c>
      <c r="Y17" s="41">
        <f t="shared" si="4"/>
        <v>44.424898046875008</v>
      </c>
      <c r="Z17" s="41">
        <f t="shared" si="5"/>
        <v>18.092549246785289</v>
      </c>
      <c r="AA17" s="41">
        <f t="shared" si="6"/>
        <v>0.71060000000000001</v>
      </c>
      <c r="AB17" s="41">
        <f t="shared" si="7"/>
        <v>0.71285812164218632</v>
      </c>
      <c r="AC17" s="41">
        <f t="shared" si="8"/>
        <v>0.59321714167585882</v>
      </c>
      <c r="AD17" s="41">
        <f t="shared" si="9"/>
        <v>0.81522456209870919</v>
      </c>
      <c r="AE17" s="41">
        <f t="shared" si="10"/>
        <v>0</v>
      </c>
      <c r="AF17" s="41">
        <f t="shared" si="11"/>
        <v>0.64828583241411941</v>
      </c>
      <c r="AG17" s="41">
        <f t="shared" si="12"/>
        <v>0.62754379012908146</v>
      </c>
    </row>
    <row r="18" spans="1:33" x14ac:dyDescent="0.2">
      <c r="A18" s="44">
        <v>2015</v>
      </c>
      <c r="B18" s="44" t="s">
        <v>351</v>
      </c>
      <c r="C18" s="44" t="s">
        <v>44</v>
      </c>
      <c r="D18" s="44" t="s">
        <v>124</v>
      </c>
      <c r="E18" s="44">
        <v>0.73790000000000011</v>
      </c>
      <c r="F18" s="43"/>
      <c r="G18" s="44">
        <v>48.122175657905899</v>
      </c>
      <c r="M18" s="41">
        <v>2015.5</v>
      </c>
      <c r="N18" s="41" t="s">
        <v>351</v>
      </c>
      <c r="O18" s="41" t="s">
        <v>298</v>
      </c>
      <c r="P18" s="41" t="s">
        <v>44</v>
      </c>
      <c r="Q18" s="41" t="s">
        <v>124</v>
      </c>
      <c r="R18" s="41">
        <v>73.790000000000006</v>
      </c>
      <c r="S18" s="49">
        <v>61.55</v>
      </c>
      <c r="T18" s="49">
        <v>86.03</v>
      </c>
      <c r="U18" s="41">
        <f t="shared" si="0"/>
        <v>0.73790000000000011</v>
      </c>
      <c r="V18" s="41">
        <f t="shared" si="1"/>
        <v>0.61549999999999994</v>
      </c>
      <c r="W18" s="41">
        <f t="shared" si="2"/>
        <v>0.86030000000000006</v>
      </c>
      <c r="X18" s="41">
        <v>48.122175657905899</v>
      </c>
      <c r="Y18" s="41">
        <f t="shared" si="4"/>
        <v>35.509353417968768</v>
      </c>
      <c r="Z18" s="41">
        <f t="shared" si="5"/>
        <v>12.612822239937131</v>
      </c>
      <c r="AA18" s="41">
        <f t="shared" si="6"/>
        <v>0.73790000000000011</v>
      </c>
      <c r="AB18" s="41">
        <f t="shared" si="7"/>
        <v>0.7412178490383885</v>
      </c>
      <c r="AC18" s="41">
        <f t="shared" si="8"/>
        <v>0.60637550147375385</v>
      </c>
      <c r="AD18" s="41">
        <f t="shared" si="9"/>
        <v>0.8507144159835559</v>
      </c>
      <c r="AE18" s="41">
        <f t="shared" si="10"/>
        <v>0</v>
      </c>
      <c r="AF18" s="41">
        <f t="shared" si="11"/>
        <v>0.91244985262460832</v>
      </c>
      <c r="AG18" s="41">
        <f t="shared" si="12"/>
        <v>0.95855840164441597</v>
      </c>
    </row>
    <row r="19" spans="1:33" x14ac:dyDescent="0.2">
      <c r="A19" s="43">
        <v>2015</v>
      </c>
      <c r="B19" s="43" t="s">
        <v>351</v>
      </c>
      <c r="C19" s="44" t="s">
        <v>44</v>
      </c>
      <c r="D19" s="43" t="s">
        <v>127</v>
      </c>
      <c r="E19" s="43">
        <v>0.70750000000000002</v>
      </c>
      <c r="F19" s="44"/>
      <c r="G19" s="43">
        <v>34.370196554770303</v>
      </c>
      <c r="M19" s="41">
        <v>2015.5</v>
      </c>
      <c r="N19" s="41" t="s">
        <v>351</v>
      </c>
      <c r="O19" s="41" t="s">
        <v>299</v>
      </c>
      <c r="P19" s="41" t="s">
        <v>44</v>
      </c>
      <c r="Q19" s="41" t="s">
        <v>127</v>
      </c>
      <c r="R19" s="41">
        <v>70.75</v>
      </c>
      <c r="S19" s="49">
        <v>55.91</v>
      </c>
      <c r="T19" s="49">
        <v>85.58</v>
      </c>
      <c r="U19" s="41">
        <f t="shared" si="0"/>
        <v>0.70750000000000002</v>
      </c>
      <c r="V19" s="41">
        <f t="shared" si="1"/>
        <v>0.55909999999999993</v>
      </c>
      <c r="W19" s="41">
        <f t="shared" si="2"/>
        <v>0.85580000000000001</v>
      </c>
      <c r="X19" s="41">
        <v>34.370196554770303</v>
      </c>
      <c r="Y19" s="41">
        <f t="shared" si="4"/>
        <v>24.31691406249999</v>
      </c>
      <c r="Z19" s="41">
        <f t="shared" si="5"/>
        <v>10.053282492270313</v>
      </c>
      <c r="AA19" s="41">
        <f t="shared" si="6"/>
        <v>0.70750000000000002</v>
      </c>
      <c r="AB19" s="41">
        <f t="shared" si="7"/>
        <v>0.71156478728835038</v>
      </c>
      <c r="AC19" s="41">
        <f t="shared" si="8"/>
        <v>0.54743030769589529</v>
      </c>
      <c r="AD19" s="41">
        <f t="shared" si="9"/>
        <v>0.84471904360937611</v>
      </c>
      <c r="AE19" s="41">
        <f t="shared" si="10"/>
        <v>0</v>
      </c>
      <c r="AF19" s="41">
        <f t="shared" si="11"/>
        <v>1.166969230410464</v>
      </c>
      <c r="AG19" s="41">
        <f t="shared" si="12"/>
        <v>1.1080956390623897</v>
      </c>
    </row>
    <row r="20" spans="1:33" x14ac:dyDescent="0.2">
      <c r="A20" s="44">
        <v>2015</v>
      </c>
      <c r="B20" s="44" t="s">
        <v>351</v>
      </c>
      <c r="C20" s="44" t="s">
        <v>44</v>
      </c>
      <c r="D20" s="44" t="s">
        <v>215</v>
      </c>
      <c r="E20" s="44">
        <v>0.74959999999999993</v>
      </c>
      <c r="F20" s="43"/>
      <c r="G20" s="44">
        <v>17.009890105452101</v>
      </c>
      <c r="M20" s="41">
        <v>2015.5</v>
      </c>
      <c r="N20" s="41" t="s">
        <v>351</v>
      </c>
      <c r="O20" s="41" t="s">
        <v>300</v>
      </c>
      <c r="P20" s="41" t="s">
        <v>44</v>
      </c>
      <c r="Q20" s="41" t="s">
        <v>215</v>
      </c>
      <c r="R20" s="41">
        <v>74.959999999999994</v>
      </c>
      <c r="S20" s="49">
        <v>55.07</v>
      </c>
      <c r="T20" s="49">
        <v>94.85</v>
      </c>
      <c r="U20" s="41">
        <f t="shared" si="0"/>
        <v>0.74959999999999993</v>
      </c>
      <c r="V20" s="41">
        <f t="shared" si="1"/>
        <v>0.55069999999999997</v>
      </c>
      <c r="W20" s="41">
        <f t="shared" si="2"/>
        <v>0.9484999999999999</v>
      </c>
      <c r="X20" s="41">
        <v>17.009890105452101</v>
      </c>
      <c r="Y20" s="41">
        <f t="shared" si="4"/>
        <v>12.750613623046894</v>
      </c>
      <c r="Z20" s="41">
        <f t="shared" si="5"/>
        <v>4.2592764824052072</v>
      </c>
      <c r="AA20" s="41">
        <f t="shared" si="6"/>
        <v>0.74959999999999993</v>
      </c>
      <c r="AB20" s="41">
        <f t="shared" si="7"/>
        <v>0.75955163302067696</v>
      </c>
      <c r="AC20" s="41">
        <f t="shared" si="8"/>
        <v>0.52584572289645393</v>
      </c>
      <c r="AD20" s="41">
        <f t="shared" si="9"/>
        <v>0.91812677401581744</v>
      </c>
      <c r="AE20" s="41">
        <f t="shared" si="10"/>
        <v>0</v>
      </c>
      <c r="AF20" s="41">
        <f t="shared" si="11"/>
        <v>2.4854277103546041</v>
      </c>
      <c r="AG20" s="41">
        <f t="shared" si="12"/>
        <v>3.0373225984182461</v>
      </c>
    </row>
    <row r="21" spans="1:33" x14ac:dyDescent="0.2">
      <c r="A21" s="43">
        <v>2015</v>
      </c>
      <c r="B21" s="43" t="s">
        <v>351</v>
      </c>
      <c r="C21" s="44" t="s">
        <v>43</v>
      </c>
      <c r="D21" s="43" t="s">
        <v>117</v>
      </c>
      <c r="E21" s="43">
        <v>0.37369999999999998</v>
      </c>
      <c r="F21" s="44"/>
      <c r="G21" s="43">
        <v>28.6641965584861</v>
      </c>
      <c r="M21" s="41">
        <v>2015.5</v>
      </c>
      <c r="N21" s="41" t="s">
        <v>351</v>
      </c>
      <c r="O21" s="41" t="s">
        <v>291</v>
      </c>
      <c r="P21" s="41" t="s">
        <v>43</v>
      </c>
      <c r="Q21" s="41" t="s">
        <v>117</v>
      </c>
      <c r="R21" s="41">
        <v>37.369999999999997</v>
      </c>
      <c r="S21" s="49">
        <v>20.309999999999999</v>
      </c>
      <c r="T21" s="49">
        <v>54.43</v>
      </c>
      <c r="U21" s="41">
        <f t="shared" si="0"/>
        <v>0.37369999999999998</v>
      </c>
      <c r="V21" s="41">
        <f t="shared" si="1"/>
        <v>0.20309999999999997</v>
      </c>
      <c r="W21" s="41">
        <f t="shared" si="2"/>
        <v>0.54430000000000001</v>
      </c>
      <c r="X21" s="41">
        <v>28.6641965584861</v>
      </c>
      <c r="Y21" s="41">
        <f t="shared" si="4"/>
        <v>10.711810253906256</v>
      </c>
      <c r="Z21" s="41">
        <f t="shared" si="5"/>
        <v>17.952386304579846</v>
      </c>
      <c r="AA21" s="41">
        <f t="shared" si="6"/>
        <v>0.37369999999999998</v>
      </c>
      <c r="AB21" s="41">
        <f t="shared" si="7"/>
        <v>0.37072385768265803</v>
      </c>
      <c r="AC21" s="41">
        <f t="shared" si="8"/>
        <v>0.20946429971078695</v>
      </c>
      <c r="AD21" s="41">
        <f t="shared" si="9"/>
        <v>0.55463269046699659</v>
      </c>
      <c r="AE21" s="41">
        <f t="shared" si="10"/>
        <v>0</v>
      </c>
      <c r="AF21" s="41">
        <f t="shared" si="11"/>
        <v>-0.63642997107869748</v>
      </c>
      <c r="AG21" s="41">
        <f t="shared" si="12"/>
        <v>-1.0332690466996586</v>
      </c>
    </row>
    <row r="22" spans="1:33" x14ac:dyDescent="0.2">
      <c r="A22" s="44">
        <v>2015</v>
      </c>
      <c r="B22" s="44" t="s">
        <v>351</v>
      </c>
      <c r="C22" s="44" t="s">
        <v>43</v>
      </c>
      <c r="D22" s="44" t="s">
        <v>118</v>
      </c>
      <c r="E22" s="44">
        <v>0.5121</v>
      </c>
      <c r="F22" s="43"/>
      <c r="G22" s="44">
        <v>83.622067833431004</v>
      </c>
      <c r="M22" s="41">
        <v>2015.5</v>
      </c>
      <c r="N22" s="41" t="s">
        <v>351</v>
      </c>
      <c r="O22" s="41" t="s">
        <v>292</v>
      </c>
      <c r="P22" s="41" t="s">
        <v>43</v>
      </c>
      <c r="Q22" s="41" t="s">
        <v>118</v>
      </c>
      <c r="R22" s="41">
        <v>51.21</v>
      </c>
      <c r="S22" s="49">
        <v>40.65</v>
      </c>
      <c r="T22" s="49">
        <v>61.77</v>
      </c>
      <c r="U22" s="41">
        <f t="shared" si="0"/>
        <v>0.5121</v>
      </c>
      <c r="V22" s="41">
        <f t="shared" si="1"/>
        <v>0.40649999999999997</v>
      </c>
      <c r="W22" s="41">
        <f t="shared" si="2"/>
        <v>0.61770000000000003</v>
      </c>
      <c r="X22" s="41">
        <v>83.622067833431004</v>
      </c>
      <c r="Y22" s="41">
        <f t="shared" si="4"/>
        <v>42.822860937500018</v>
      </c>
      <c r="Z22" s="41">
        <f t="shared" si="5"/>
        <v>40.799206895930986</v>
      </c>
      <c r="AA22" s="41">
        <f t="shared" si="6"/>
        <v>0.5121</v>
      </c>
      <c r="AB22" s="41">
        <f t="shared" si="7"/>
        <v>0.5121969254198846</v>
      </c>
      <c r="AC22" s="41">
        <f t="shared" si="8"/>
        <v>0.40560127343502439</v>
      </c>
      <c r="AD22" s="41">
        <f t="shared" si="9"/>
        <v>0.61805020272497602</v>
      </c>
      <c r="AE22" s="41">
        <f t="shared" si="10"/>
        <v>0</v>
      </c>
      <c r="AF22" s="41">
        <f t="shared" si="11"/>
        <v>8.9872656497558268E-2</v>
      </c>
      <c r="AG22" s="41">
        <f t="shared" si="12"/>
        <v>-3.5020272497598981E-2</v>
      </c>
    </row>
    <row r="23" spans="1:33" x14ac:dyDescent="0.2">
      <c r="A23" s="43">
        <v>2015</v>
      </c>
      <c r="B23" s="43" t="s">
        <v>351</v>
      </c>
      <c r="C23" s="44" t="s">
        <v>43</v>
      </c>
      <c r="D23" s="43" t="s">
        <v>119</v>
      </c>
      <c r="E23" s="43">
        <v>0.60489999999999999</v>
      </c>
      <c r="F23" s="44"/>
      <c r="G23" s="43">
        <v>177.796986072078</v>
      </c>
      <c r="M23" s="41">
        <v>2015.5</v>
      </c>
      <c r="N23" s="41" t="s">
        <v>351</v>
      </c>
      <c r="O23" s="41" t="s">
        <v>293</v>
      </c>
      <c r="P23" s="41" t="s">
        <v>43</v>
      </c>
      <c r="Q23" s="41" t="s">
        <v>119</v>
      </c>
      <c r="R23" s="41">
        <v>60.49</v>
      </c>
      <c r="S23" s="49">
        <v>53.35</v>
      </c>
      <c r="T23" s="49">
        <v>67.63</v>
      </c>
      <c r="U23" s="41">
        <f t="shared" si="0"/>
        <v>0.60489999999999999</v>
      </c>
      <c r="V23" s="41">
        <f t="shared" si="1"/>
        <v>0.53349999999999997</v>
      </c>
      <c r="W23" s="41">
        <f t="shared" si="2"/>
        <v>0.6762999999999999</v>
      </c>
      <c r="X23" s="41">
        <v>177.796986072078</v>
      </c>
      <c r="Y23" s="41">
        <f t="shared" si="4"/>
        <v>107.54939687499999</v>
      </c>
      <c r="Z23" s="41">
        <f t="shared" si="5"/>
        <v>70.247589197078014</v>
      </c>
      <c r="AA23" s="41">
        <f t="shared" si="6"/>
        <v>0.60489999999999999</v>
      </c>
      <c r="AB23" s="41">
        <f t="shared" si="7"/>
        <v>0.60529419132498807</v>
      </c>
      <c r="AC23" s="41">
        <f t="shared" si="8"/>
        <v>0.53221664196803453</v>
      </c>
      <c r="AD23" s="41">
        <f t="shared" si="9"/>
        <v>0.67534757341787799</v>
      </c>
      <c r="AE23" s="41">
        <f t="shared" si="10"/>
        <v>0</v>
      </c>
      <c r="AF23" s="41">
        <f t="shared" si="11"/>
        <v>0.12833580319654425</v>
      </c>
      <c r="AG23" s="41">
        <f t="shared" si="12"/>
        <v>9.5242658212191245E-2</v>
      </c>
    </row>
    <row r="24" spans="1:33" x14ac:dyDescent="0.2">
      <c r="A24" s="44">
        <v>2015</v>
      </c>
      <c r="B24" s="44" t="s">
        <v>351</v>
      </c>
      <c r="C24" s="44" t="s">
        <v>43</v>
      </c>
      <c r="D24" s="44" t="s">
        <v>120</v>
      </c>
      <c r="E24" s="44">
        <v>0.69090000000000007</v>
      </c>
      <c r="F24" s="43"/>
      <c r="G24" s="44">
        <v>186.99075481256301</v>
      </c>
      <c r="M24" s="41">
        <v>2015.5</v>
      </c>
      <c r="N24" s="41" t="s">
        <v>351</v>
      </c>
      <c r="O24" s="41" t="s">
        <v>294</v>
      </c>
      <c r="P24" s="41" t="s">
        <v>43</v>
      </c>
      <c r="Q24" s="41" t="s">
        <v>120</v>
      </c>
      <c r="R24" s="41">
        <v>69.09</v>
      </c>
      <c r="S24" s="49">
        <v>62.5</v>
      </c>
      <c r="T24" s="49">
        <v>75.680000000000007</v>
      </c>
      <c r="U24" s="41">
        <f t="shared" si="0"/>
        <v>0.69090000000000007</v>
      </c>
      <c r="V24" s="41">
        <f t="shared" si="1"/>
        <v>0.625</v>
      </c>
      <c r="W24" s="41">
        <f t="shared" si="2"/>
        <v>0.75680000000000003</v>
      </c>
      <c r="X24" s="41">
        <v>186.99075481256301</v>
      </c>
      <c r="Y24" s="41">
        <f t="shared" si="4"/>
        <v>129.1919124999998</v>
      </c>
      <c r="Z24" s="41">
        <f t="shared" si="5"/>
        <v>57.798842312563217</v>
      </c>
      <c r="AA24" s="41">
        <f t="shared" si="6"/>
        <v>0.69090000000000007</v>
      </c>
      <c r="AB24" s="41">
        <f t="shared" si="7"/>
        <v>0.69158190746625292</v>
      </c>
      <c r="AC24" s="41">
        <f t="shared" si="8"/>
        <v>0.62300243689350931</v>
      </c>
      <c r="AD24" s="41">
        <f t="shared" si="9"/>
        <v>0.75492966091234304</v>
      </c>
      <c r="AE24" s="41">
        <f t="shared" si="10"/>
        <v>0</v>
      </c>
      <c r="AF24" s="41">
        <f t="shared" si="11"/>
        <v>0.19975631064906851</v>
      </c>
      <c r="AG24" s="41">
        <f t="shared" si="12"/>
        <v>0.18703390876569914</v>
      </c>
    </row>
    <row r="25" spans="1:33" x14ac:dyDescent="0.2">
      <c r="A25" s="43">
        <v>2015</v>
      </c>
      <c r="B25" s="43" t="s">
        <v>351</v>
      </c>
      <c r="C25" s="44" t="s">
        <v>43</v>
      </c>
      <c r="D25" s="43" t="s">
        <v>121</v>
      </c>
      <c r="E25" s="43">
        <v>0.73970000000000002</v>
      </c>
      <c r="F25" s="44"/>
      <c r="G25" s="43">
        <v>176.07373977626099</v>
      </c>
      <c r="M25" s="41">
        <v>2015.5</v>
      </c>
      <c r="N25" s="41" t="s">
        <v>351</v>
      </c>
      <c r="O25" s="41" t="s">
        <v>295</v>
      </c>
      <c r="P25" s="41" t="s">
        <v>43</v>
      </c>
      <c r="Q25" s="41" t="s">
        <v>121</v>
      </c>
      <c r="R25" s="41">
        <v>73.97</v>
      </c>
      <c r="S25" s="49">
        <v>67.510000000000005</v>
      </c>
      <c r="T25" s="49">
        <v>80.42</v>
      </c>
      <c r="U25" s="41">
        <f t="shared" si="0"/>
        <v>0.73970000000000002</v>
      </c>
      <c r="V25" s="41">
        <f t="shared" si="1"/>
        <v>0.67510000000000003</v>
      </c>
      <c r="W25" s="41">
        <f t="shared" si="2"/>
        <v>0.80420000000000003</v>
      </c>
      <c r="X25" s="41">
        <v>176.07373977626099</v>
      </c>
      <c r="Y25" s="41">
        <f t="shared" si="4"/>
        <v>130.24174531250026</v>
      </c>
      <c r="Z25" s="41">
        <f t="shared" si="5"/>
        <v>45.831994463760729</v>
      </c>
      <c r="AA25" s="41">
        <f t="shared" si="6"/>
        <v>0.73970000000000002</v>
      </c>
      <c r="AB25" s="41">
        <f t="shared" si="7"/>
        <v>0.74060925976785474</v>
      </c>
      <c r="AC25" s="41">
        <f t="shared" si="8"/>
        <v>0.67260757386849157</v>
      </c>
      <c r="AD25" s="41">
        <f t="shared" si="9"/>
        <v>0.80163574697537521</v>
      </c>
      <c r="AE25" s="41">
        <f t="shared" si="10"/>
        <v>0</v>
      </c>
      <c r="AF25" s="41">
        <f t="shared" si="11"/>
        <v>0.24924261315084628</v>
      </c>
      <c r="AG25" s="41">
        <f t="shared" si="12"/>
        <v>0.25642530246248185</v>
      </c>
    </row>
    <row r="26" spans="1:33" x14ac:dyDescent="0.2">
      <c r="A26" s="44">
        <v>2015</v>
      </c>
      <c r="B26" s="44" t="s">
        <v>351</v>
      </c>
      <c r="C26" s="44" t="s">
        <v>43</v>
      </c>
      <c r="D26" s="44" t="s">
        <v>122</v>
      </c>
      <c r="E26" s="44">
        <v>0.79879999999999995</v>
      </c>
      <c r="F26" s="43"/>
      <c r="G26" s="44">
        <v>129.35300020343001</v>
      </c>
      <c r="M26" s="41">
        <v>2015.5</v>
      </c>
      <c r="N26" s="41" t="s">
        <v>351</v>
      </c>
      <c r="O26" s="41" t="s">
        <v>296</v>
      </c>
      <c r="P26" s="41" t="s">
        <v>43</v>
      </c>
      <c r="Q26" s="41" t="s">
        <v>122</v>
      </c>
      <c r="R26" s="41">
        <v>79.88</v>
      </c>
      <c r="S26" s="49">
        <v>72.989999999999995</v>
      </c>
      <c r="T26" s="49">
        <v>86.77</v>
      </c>
      <c r="U26" s="41">
        <f t="shared" si="0"/>
        <v>0.79879999999999995</v>
      </c>
      <c r="V26" s="41">
        <f t="shared" si="1"/>
        <v>0.72989999999999999</v>
      </c>
      <c r="W26" s="41">
        <f t="shared" si="2"/>
        <v>0.86769999999999992</v>
      </c>
      <c r="X26" s="41">
        <v>129.35300020343001</v>
      </c>
      <c r="Y26" s="41">
        <f t="shared" si="4"/>
        <v>103.32717656249989</v>
      </c>
      <c r="Z26" s="41">
        <f t="shared" si="5"/>
        <v>26.025823640930124</v>
      </c>
      <c r="AA26" s="41">
        <f t="shared" si="6"/>
        <v>0.79879999999999995</v>
      </c>
      <c r="AB26" s="41">
        <f t="shared" si="7"/>
        <v>0.80034310214535775</v>
      </c>
      <c r="AC26" s="41">
        <f t="shared" si="8"/>
        <v>0.72582277372394588</v>
      </c>
      <c r="AD26" s="41">
        <f t="shared" si="9"/>
        <v>0.86303333140179272</v>
      </c>
      <c r="AE26" s="41">
        <f t="shared" si="10"/>
        <v>0</v>
      </c>
      <c r="AF26" s="41">
        <f t="shared" si="11"/>
        <v>0.40772262760541134</v>
      </c>
      <c r="AG26" s="41">
        <f t="shared" si="12"/>
        <v>0.46666685982071909</v>
      </c>
    </row>
    <row r="27" spans="1:33" x14ac:dyDescent="0.2">
      <c r="A27" s="44">
        <v>2015</v>
      </c>
      <c r="B27" s="43" t="s">
        <v>351</v>
      </c>
      <c r="C27" s="44" t="s">
        <v>43</v>
      </c>
      <c r="D27" s="44" t="s">
        <v>123</v>
      </c>
      <c r="E27" s="44">
        <v>0.78590000000000004</v>
      </c>
      <c r="F27" s="44"/>
      <c r="G27" s="44">
        <v>77.517041568583807</v>
      </c>
      <c r="M27" s="41">
        <v>2015.5</v>
      </c>
      <c r="N27" s="41" t="s">
        <v>351</v>
      </c>
      <c r="O27" s="41" t="s">
        <v>297</v>
      </c>
      <c r="P27" s="41" t="s">
        <v>43</v>
      </c>
      <c r="Q27" s="41" t="s">
        <v>123</v>
      </c>
      <c r="R27" s="41">
        <v>78.59</v>
      </c>
      <c r="S27" s="49">
        <v>69.510000000000005</v>
      </c>
      <c r="T27" s="49">
        <v>87.67</v>
      </c>
      <c r="U27" s="41">
        <f t="shared" si="0"/>
        <v>0.78590000000000004</v>
      </c>
      <c r="V27" s="41">
        <f t="shared" si="1"/>
        <v>0.69510000000000005</v>
      </c>
      <c r="W27" s="41">
        <f t="shared" si="2"/>
        <v>0.87670000000000003</v>
      </c>
      <c r="X27" s="41">
        <v>77.517041568583807</v>
      </c>
      <c r="Y27" s="41">
        <f t="shared" si="4"/>
        <v>60.920642968750016</v>
      </c>
      <c r="Z27" s="41">
        <f t="shared" si="5"/>
        <v>16.59639859983379</v>
      </c>
      <c r="AA27" s="41">
        <f t="shared" si="6"/>
        <v>0.78590000000000004</v>
      </c>
      <c r="AB27" s="41">
        <f t="shared" si="7"/>
        <v>0.78836759678498203</v>
      </c>
      <c r="AC27" s="41">
        <f t="shared" si="8"/>
        <v>0.6886375870560657</v>
      </c>
      <c r="AD27" s="41">
        <f t="shared" si="9"/>
        <v>0.86920712793491528</v>
      </c>
      <c r="AE27" s="41">
        <f t="shared" si="10"/>
        <v>0</v>
      </c>
      <c r="AF27" s="41">
        <f t="shared" si="11"/>
        <v>0.64624129439343481</v>
      </c>
      <c r="AG27" s="41">
        <f t="shared" si="12"/>
        <v>0.74928720650847547</v>
      </c>
    </row>
    <row r="28" spans="1:33" x14ac:dyDescent="0.2">
      <c r="A28" s="43">
        <v>2015</v>
      </c>
      <c r="B28" s="44" t="s">
        <v>351</v>
      </c>
      <c r="C28" s="43" t="s">
        <v>43</v>
      </c>
      <c r="D28" s="43" t="s">
        <v>124</v>
      </c>
      <c r="E28" s="43">
        <v>0.68540000000000001</v>
      </c>
      <c r="F28" s="43"/>
      <c r="G28" s="43">
        <v>59.220344928600099</v>
      </c>
      <c r="M28" s="41">
        <v>2015.5</v>
      </c>
      <c r="N28" s="41" t="s">
        <v>351</v>
      </c>
      <c r="O28" s="41" t="s">
        <v>298</v>
      </c>
      <c r="P28" s="41" t="s">
        <v>43</v>
      </c>
      <c r="Q28" s="41" t="s">
        <v>124</v>
      </c>
      <c r="R28" s="41">
        <v>68.540000000000006</v>
      </c>
      <c r="S28" s="49">
        <v>56.9</v>
      </c>
      <c r="T28" s="49">
        <v>80.180000000000007</v>
      </c>
      <c r="U28" s="41">
        <f t="shared" si="0"/>
        <v>0.68540000000000001</v>
      </c>
      <c r="V28" s="41">
        <f t="shared" si="1"/>
        <v>0.56899999999999995</v>
      </c>
      <c r="W28" s="41">
        <f t="shared" si="2"/>
        <v>0.80180000000000007</v>
      </c>
      <c r="X28" s="41">
        <v>59.220344928600099</v>
      </c>
      <c r="Y28" s="41">
        <f t="shared" si="4"/>
        <v>40.589624414062506</v>
      </c>
      <c r="Z28" s="41">
        <f t="shared" si="5"/>
        <v>18.63072051453759</v>
      </c>
      <c r="AA28" s="41">
        <f t="shared" si="6"/>
        <v>0.68540000000000001</v>
      </c>
      <c r="AB28" s="41">
        <f t="shared" si="7"/>
        <v>0.68749972876156085</v>
      </c>
      <c r="AC28" s="41">
        <f t="shared" si="8"/>
        <v>0.56272809911860222</v>
      </c>
      <c r="AD28" s="41">
        <f t="shared" si="9"/>
        <v>0.79621186873906435</v>
      </c>
      <c r="AE28" s="41">
        <f t="shared" si="10"/>
        <v>0</v>
      </c>
      <c r="AF28" s="41">
        <f t="shared" si="11"/>
        <v>0.62719008813977295</v>
      </c>
      <c r="AG28" s="41">
        <f t="shared" si="12"/>
        <v>0.55881312609357137</v>
      </c>
    </row>
    <row r="29" spans="1:33" x14ac:dyDescent="0.2">
      <c r="A29" s="44">
        <v>2015</v>
      </c>
      <c r="B29" s="43" t="s">
        <v>351</v>
      </c>
      <c r="C29" s="44" t="s">
        <v>43</v>
      </c>
      <c r="D29" s="44" t="s">
        <v>127</v>
      </c>
      <c r="E29" s="44">
        <v>0.77249999999999996</v>
      </c>
      <c r="F29" s="44"/>
      <c r="G29" s="44">
        <v>55.9661458333333</v>
      </c>
      <c r="M29" s="41">
        <v>2015.5</v>
      </c>
      <c r="N29" s="41" t="s">
        <v>351</v>
      </c>
      <c r="O29" s="41" t="s">
        <v>299</v>
      </c>
      <c r="P29" s="41" t="s">
        <v>43</v>
      </c>
      <c r="Q29" s="41" t="s">
        <v>127</v>
      </c>
      <c r="R29" s="41">
        <v>77.25</v>
      </c>
      <c r="S29" s="49">
        <v>66.37</v>
      </c>
      <c r="T29" s="49">
        <v>88.13</v>
      </c>
      <c r="U29" s="41">
        <f t="shared" si="0"/>
        <v>0.77249999999999996</v>
      </c>
      <c r="V29" s="41">
        <f t="shared" si="1"/>
        <v>0.66370000000000007</v>
      </c>
      <c r="W29" s="41">
        <f t="shared" si="2"/>
        <v>0.88129999999999997</v>
      </c>
      <c r="X29" s="41">
        <v>55.9661458333333</v>
      </c>
      <c r="Y29" s="41">
        <f t="shared" si="4"/>
        <v>43.233847656249971</v>
      </c>
      <c r="Z29" s="41">
        <f t="shared" si="5"/>
        <v>12.732298177083328</v>
      </c>
      <c r="AA29" s="41">
        <f t="shared" si="6"/>
        <v>0.77249999999999996</v>
      </c>
      <c r="AB29" s="41">
        <f t="shared" si="7"/>
        <v>0.77576283456712702</v>
      </c>
      <c r="AC29" s="41">
        <f t="shared" si="8"/>
        <v>0.6551298325347138</v>
      </c>
      <c r="AD29" s="41">
        <f t="shared" si="9"/>
        <v>0.87145207221636722</v>
      </c>
      <c r="AE29" s="41">
        <f t="shared" si="10"/>
        <v>0</v>
      </c>
      <c r="AF29" s="41">
        <f t="shared" si="11"/>
        <v>0.85701674652862714</v>
      </c>
      <c r="AG29" s="41">
        <f t="shared" si="12"/>
        <v>0.98479277836327483</v>
      </c>
    </row>
    <row r="30" spans="1:33" x14ac:dyDescent="0.2">
      <c r="A30" s="43">
        <v>2015</v>
      </c>
      <c r="B30" s="44" t="s">
        <v>351</v>
      </c>
      <c r="C30" s="43" t="s">
        <v>43</v>
      </c>
      <c r="D30" s="43" t="s">
        <v>215</v>
      </c>
      <c r="E30" s="43">
        <v>0.78579999999999994</v>
      </c>
      <c r="F30" s="43"/>
      <c r="G30" s="43">
        <v>29.030182343034198</v>
      </c>
      <c r="M30" s="41">
        <v>2015.5</v>
      </c>
      <c r="N30" s="41" t="s">
        <v>351</v>
      </c>
      <c r="O30" s="41" t="s">
        <v>300</v>
      </c>
      <c r="P30" s="41" t="s">
        <v>43</v>
      </c>
      <c r="Q30" s="41" t="s">
        <v>215</v>
      </c>
      <c r="R30" s="41">
        <v>78.58</v>
      </c>
      <c r="S30" s="49">
        <v>63.85</v>
      </c>
      <c r="T30" s="49">
        <v>93.31</v>
      </c>
      <c r="U30" s="41">
        <f t="shared" si="0"/>
        <v>0.78579999999999994</v>
      </c>
      <c r="V30" s="41">
        <f t="shared" si="1"/>
        <v>0.63850000000000007</v>
      </c>
      <c r="W30" s="41">
        <f t="shared" si="2"/>
        <v>0.93310000000000004</v>
      </c>
      <c r="X30" s="41">
        <v>29.030182343034198</v>
      </c>
      <c r="Y30" s="41">
        <f t="shared" si="4"/>
        <v>22.811917285156273</v>
      </c>
      <c r="Z30" s="41">
        <f t="shared" si="5"/>
        <v>6.218265057877927</v>
      </c>
      <c r="AA30" s="41">
        <f t="shared" si="6"/>
        <v>0.78580000000000005</v>
      </c>
      <c r="AB30" s="41">
        <f t="shared" si="7"/>
        <v>0.79242278369983588</v>
      </c>
      <c r="AC30" s="41">
        <f t="shared" si="8"/>
        <v>0.62242843238749634</v>
      </c>
      <c r="AD30" s="41">
        <f t="shared" si="9"/>
        <v>0.91204183913760195</v>
      </c>
      <c r="AE30" s="41">
        <f t="shared" si="10"/>
        <v>-1.1102230246251565E-14</v>
      </c>
      <c r="AF30" s="41">
        <f t="shared" si="11"/>
        <v>1.6071567612503723</v>
      </c>
      <c r="AG30" s="41">
        <f t="shared" si="12"/>
        <v>2.105816086239809</v>
      </c>
    </row>
    <row r="31" spans="1:33" x14ac:dyDescent="0.2">
      <c r="A31" s="44"/>
      <c r="B31" s="43"/>
      <c r="C31" s="44"/>
      <c r="D31" s="44"/>
      <c r="E31" s="44"/>
      <c r="F31" s="44"/>
      <c r="G31" s="44"/>
    </row>
    <row r="32" spans="1:33" x14ac:dyDescent="0.2">
      <c r="A32" s="43"/>
      <c r="B32" s="44"/>
      <c r="C32" s="43"/>
      <c r="D32" s="43"/>
      <c r="E32" s="43"/>
      <c r="F32" s="43"/>
      <c r="G32" s="43"/>
    </row>
    <row r="33" spans="1:7" x14ac:dyDescent="0.2">
      <c r="A33" s="44"/>
      <c r="B33" s="44"/>
      <c r="C33" s="44"/>
      <c r="D33" s="44"/>
      <c r="E33" s="44"/>
      <c r="F33" s="44"/>
      <c r="G33" s="44"/>
    </row>
    <row r="34" spans="1:7" x14ac:dyDescent="0.2">
      <c r="A34" s="43"/>
      <c r="B34" s="44"/>
      <c r="C34" s="43"/>
      <c r="D34" s="43"/>
      <c r="E34" s="43"/>
      <c r="F34" s="43"/>
      <c r="G34" s="43"/>
    </row>
    <row r="35" spans="1:7" x14ac:dyDescent="0.2">
      <c r="A35" s="43"/>
      <c r="B35" s="43"/>
      <c r="C35" s="43"/>
      <c r="D35" s="43"/>
      <c r="E35" s="43"/>
      <c r="F35" s="44"/>
      <c r="G35" s="43"/>
    </row>
    <row r="36" spans="1:7" x14ac:dyDescent="0.2">
      <c r="A36" s="44"/>
      <c r="B36" s="43"/>
      <c r="C36" s="44"/>
      <c r="D36" s="44"/>
      <c r="E36" s="44"/>
      <c r="F36" s="43"/>
      <c r="G36" s="44"/>
    </row>
    <row r="37" spans="1:7" x14ac:dyDescent="0.2">
      <c r="A37" s="43"/>
      <c r="B37" s="43"/>
      <c r="C37" s="43"/>
      <c r="D37" s="43"/>
      <c r="E37" s="43"/>
      <c r="F37" s="44"/>
      <c r="G37" s="43"/>
    </row>
    <row r="38" spans="1:7" x14ac:dyDescent="0.2">
      <c r="A38" s="44"/>
      <c r="B38" s="43"/>
      <c r="C38" s="44"/>
      <c r="D38" s="44"/>
      <c r="E38" s="44"/>
      <c r="F38" s="43"/>
      <c r="G38" s="44"/>
    </row>
    <row r="39" spans="1:7" x14ac:dyDescent="0.2">
      <c r="A39" s="43"/>
      <c r="B39" s="43"/>
      <c r="C39" s="43"/>
      <c r="D39" s="43"/>
      <c r="E39" s="43"/>
      <c r="F39" s="44"/>
      <c r="G39" s="43"/>
    </row>
    <row r="40" spans="1:7" x14ac:dyDescent="0.2">
      <c r="A40" s="44"/>
      <c r="B40" s="43"/>
      <c r="C40" s="44"/>
      <c r="D40" s="44"/>
      <c r="E40" s="44"/>
      <c r="F40" s="43"/>
      <c r="G40" s="44"/>
    </row>
    <row r="41" spans="1:7" x14ac:dyDescent="0.2">
      <c r="A41" s="43"/>
      <c r="B41" s="43"/>
      <c r="C41" s="43"/>
      <c r="D41" s="43"/>
      <c r="E41" s="43"/>
      <c r="F41" s="44"/>
      <c r="G41" s="43"/>
    </row>
    <row r="42" spans="1:7" x14ac:dyDescent="0.2">
      <c r="A42" s="44"/>
      <c r="B42" s="43"/>
      <c r="C42" s="44"/>
      <c r="D42" s="44"/>
      <c r="E42" s="44"/>
      <c r="F42" s="43"/>
      <c r="G42" s="44"/>
    </row>
    <row r="43" spans="1:7" x14ac:dyDescent="0.2">
      <c r="A43" s="44"/>
      <c r="B43" s="44"/>
      <c r="C43" s="44"/>
      <c r="D43" s="44"/>
      <c r="E43" s="44"/>
      <c r="F43" s="44"/>
      <c r="G43" s="44"/>
    </row>
    <row r="44" spans="1:7" x14ac:dyDescent="0.2">
      <c r="A44" s="43"/>
      <c r="B44" s="44"/>
      <c r="C44" s="44"/>
      <c r="D44" s="43"/>
      <c r="E44" s="43"/>
      <c r="F44" s="43"/>
      <c r="G44" s="43"/>
    </row>
    <row r="45" spans="1:7" x14ac:dyDescent="0.2">
      <c r="A45" s="44"/>
      <c r="B45" s="44"/>
      <c r="C45" s="44"/>
      <c r="D45" s="44"/>
      <c r="E45" s="44"/>
      <c r="F45" s="44"/>
      <c r="G45" s="44"/>
    </row>
    <row r="46" spans="1:7" x14ac:dyDescent="0.2">
      <c r="A46" s="43"/>
      <c r="B46" s="44"/>
      <c r="C46" s="44"/>
      <c r="D46" s="43"/>
      <c r="E46" s="43"/>
      <c r="F46" s="43"/>
      <c r="G46" s="43"/>
    </row>
    <row r="47" spans="1:7" x14ac:dyDescent="0.2">
      <c r="A47" s="44"/>
      <c r="B47" s="44"/>
      <c r="C47" s="44"/>
      <c r="D47" s="44"/>
      <c r="E47" s="44"/>
      <c r="F47" s="44"/>
      <c r="G47" s="44"/>
    </row>
    <row r="48" spans="1:7" x14ac:dyDescent="0.2">
      <c r="A48" s="43"/>
      <c r="B48" s="44"/>
      <c r="C48" s="44"/>
      <c r="D48" s="43"/>
      <c r="E48" s="43"/>
      <c r="F48" s="43"/>
      <c r="G48" s="43"/>
    </row>
    <row r="49" spans="1:7" x14ac:dyDescent="0.2">
      <c r="A49" s="44"/>
      <c r="B49" s="44"/>
      <c r="C49" s="44"/>
      <c r="D49" s="44"/>
      <c r="E49" s="44"/>
      <c r="F49" s="44"/>
      <c r="G49" s="44"/>
    </row>
    <row r="50" spans="1:7" x14ac:dyDescent="0.2">
      <c r="A50" s="43"/>
      <c r="B50" s="43"/>
      <c r="C50" s="43"/>
      <c r="D50" s="43"/>
      <c r="E50" s="43"/>
      <c r="F50" s="43"/>
      <c r="G50" s="43"/>
    </row>
    <row r="51" spans="1:7" x14ac:dyDescent="0.2">
      <c r="A51" s="43"/>
      <c r="B51" s="44"/>
      <c r="C51" s="44"/>
      <c r="D51" s="43"/>
      <c r="E51" s="43"/>
      <c r="F51" s="44"/>
      <c r="G51" s="43"/>
    </row>
    <row r="52" spans="1:7" x14ac:dyDescent="0.2">
      <c r="A52" s="44"/>
      <c r="B52" s="44"/>
      <c r="C52" s="44"/>
      <c r="D52" s="44"/>
      <c r="E52" s="44"/>
      <c r="F52" s="43"/>
      <c r="G52" s="44"/>
    </row>
    <row r="53" spans="1:7" x14ac:dyDescent="0.2">
      <c r="A53" s="43"/>
      <c r="B53" s="44"/>
      <c r="C53" s="44"/>
      <c r="D53" s="43"/>
      <c r="E53" s="43"/>
      <c r="F53" s="44"/>
      <c r="G53" s="43"/>
    </row>
    <row r="54" spans="1:7" x14ac:dyDescent="0.2">
      <c r="A54" s="44"/>
      <c r="B54" s="44"/>
      <c r="C54" s="44"/>
      <c r="D54" s="44"/>
      <c r="E54" s="44"/>
      <c r="F54" s="43"/>
      <c r="G54" s="44"/>
    </row>
    <row r="55" spans="1:7" x14ac:dyDescent="0.2">
      <c r="A55" s="43"/>
      <c r="B55" s="44"/>
      <c r="C55" s="43"/>
      <c r="D55" s="43"/>
      <c r="E55" s="43"/>
      <c r="F55" s="44"/>
      <c r="G55" s="43"/>
    </row>
    <row r="56" spans="1:7" x14ac:dyDescent="0.2">
      <c r="A56" s="44"/>
      <c r="B56" s="44"/>
      <c r="C56" s="44"/>
      <c r="D56" s="44"/>
      <c r="E56" s="44"/>
      <c r="F56" s="43"/>
      <c r="G56" s="44"/>
    </row>
    <row r="57" spans="1:7" x14ac:dyDescent="0.2">
      <c r="A57" s="43"/>
      <c r="B57" s="44"/>
      <c r="C57" s="43"/>
      <c r="D57" s="43"/>
      <c r="E57" s="43"/>
      <c r="F57" s="44"/>
      <c r="G57" s="43"/>
    </row>
    <row r="58" spans="1:7" x14ac:dyDescent="0.2">
      <c r="A58" s="44"/>
      <c r="B58" s="44"/>
      <c r="C58" s="44"/>
      <c r="D58" s="44"/>
      <c r="E58" s="44"/>
      <c r="F58" s="43"/>
      <c r="G58" s="44"/>
    </row>
    <row r="59" spans="1:7" x14ac:dyDescent="0.2">
      <c r="A59" s="43"/>
      <c r="B59" s="44"/>
      <c r="C59" s="43"/>
      <c r="D59" s="43"/>
      <c r="E59" s="43"/>
      <c r="F59" s="44"/>
      <c r="G59" s="43"/>
    </row>
    <row r="60" spans="1:7" x14ac:dyDescent="0.2">
      <c r="A60" s="44"/>
      <c r="B60" s="44"/>
      <c r="C60" s="44"/>
      <c r="D60" s="44"/>
      <c r="E60" s="44"/>
      <c r="F60" s="43"/>
      <c r="G60" s="44"/>
    </row>
    <row r="61" spans="1:7" x14ac:dyDescent="0.2">
      <c r="A61" s="43"/>
      <c r="B61" s="44"/>
      <c r="C61" s="43"/>
      <c r="D61" s="43"/>
      <c r="E61" s="43"/>
      <c r="F61" s="44"/>
      <c r="G61" s="43"/>
    </row>
    <row r="62" spans="1:7" x14ac:dyDescent="0.2">
      <c r="A62" s="43"/>
      <c r="B62" s="43"/>
      <c r="C62" s="43"/>
      <c r="D62" s="43"/>
      <c r="E62" s="43"/>
      <c r="F62" s="43"/>
      <c r="G62" s="43"/>
    </row>
    <row r="63" spans="1:7" x14ac:dyDescent="0.2">
      <c r="A63" s="44"/>
      <c r="B63" s="43"/>
      <c r="C63" s="44"/>
      <c r="D63" s="44"/>
      <c r="E63" s="44"/>
      <c r="F63" s="44"/>
      <c r="G63" s="44"/>
    </row>
    <row r="64" spans="1:7" x14ac:dyDescent="0.2">
      <c r="A64" s="43"/>
      <c r="B64" s="43"/>
      <c r="C64" s="43"/>
      <c r="D64" s="43"/>
      <c r="E64" s="43"/>
      <c r="F64" s="43"/>
      <c r="G64" s="43"/>
    </row>
    <row r="65" spans="1:7" x14ac:dyDescent="0.2">
      <c r="A65" s="44"/>
      <c r="B65" s="43"/>
      <c r="C65" s="44"/>
      <c r="D65" s="44"/>
      <c r="E65" s="44"/>
      <c r="F65" s="44"/>
      <c r="G65" s="44"/>
    </row>
    <row r="66" spans="1:7" x14ac:dyDescent="0.2">
      <c r="A66" s="43"/>
      <c r="B66" s="43"/>
      <c r="C66" s="43"/>
      <c r="D66" s="43"/>
      <c r="E66" s="43"/>
      <c r="F66" s="43"/>
      <c r="G66" s="43"/>
    </row>
    <row r="67" spans="1:7" x14ac:dyDescent="0.2">
      <c r="A67" s="44"/>
      <c r="B67" s="43"/>
      <c r="C67" s="44"/>
      <c r="D67" s="44"/>
      <c r="E67" s="44"/>
      <c r="F67" s="44"/>
      <c r="G67" s="44"/>
    </row>
    <row r="68" spans="1:7" x14ac:dyDescent="0.2">
      <c r="A68" s="43"/>
      <c r="B68" s="43"/>
      <c r="C68" s="43"/>
      <c r="D68" s="43"/>
      <c r="E68" s="43"/>
      <c r="F68" s="43"/>
      <c r="G68" s="43"/>
    </row>
    <row r="69" spans="1:7" x14ac:dyDescent="0.2">
      <c r="A69" s="44"/>
      <c r="B69" s="43"/>
      <c r="C69" s="44"/>
      <c r="D69" s="44"/>
      <c r="E69" s="44"/>
      <c r="F69" s="44"/>
      <c r="G69" s="44"/>
    </row>
    <row r="70" spans="1:7" x14ac:dyDescent="0.2">
      <c r="A70" s="44"/>
      <c r="B70" s="44"/>
      <c r="C70" s="44"/>
      <c r="D70" s="44"/>
      <c r="E70" s="44"/>
      <c r="F70" s="43"/>
      <c r="G70" s="44"/>
    </row>
    <row r="71" spans="1:7" x14ac:dyDescent="0.2">
      <c r="A71" s="43"/>
      <c r="B71" s="44"/>
      <c r="C71" s="43"/>
      <c r="D71" s="43"/>
      <c r="E71" s="43"/>
      <c r="F71" s="44"/>
      <c r="G71" s="43"/>
    </row>
    <row r="72" spans="1:7" x14ac:dyDescent="0.2">
      <c r="A72" s="44"/>
      <c r="B72" s="44"/>
      <c r="C72" s="44"/>
      <c r="D72" s="44"/>
      <c r="E72" s="44"/>
      <c r="F72" s="43"/>
      <c r="G72" s="44"/>
    </row>
    <row r="73" spans="1:7" x14ac:dyDescent="0.2">
      <c r="A73" s="43"/>
      <c r="B73" s="44"/>
      <c r="C73" s="43"/>
      <c r="D73" s="43"/>
      <c r="E73" s="43"/>
      <c r="F73" s="44"/>
      <c r="G73" s="43"/>
    </row>
    <row r="74" spans="1:7" x14ac:dyDescent="0.2">
      <c r="A74" s="44"/>
      <c r="B74" s="44"/>
      <c r="C74" s="44"/>
      <c r="D74" s="44"/>
      <c r="E74" s="44"/>
      <c r="F74" s="43"/>
      <c r="G74" s="44"/>
    </row>
    <row r="75" spans="1:7" x14ac:dyDescent="0.2">
      <c r="A75" s="43"/>
      <c r="B75" s="44"/>
      <c r="C75" s="43"/>
      <c r="D75" s="43"/>
      <c r="E75" s="43"/>
      <c r="F75" s="44"/>
      <c r="G75" s="43"/>
    </row>
    <row r="76" spans="1:7" x14ac:dyDescent="0.2">
      <c r="A76" s="44"/>
      <c r="B76" s="44"/>
      <c r="C76" s="44"/>
      <c r="D76" s="44"/>
      <c r="E76" s="44"/>
      <c r="F76" s="43"/>
      <c r="G76" s="44"/>
    </row>
    <row r="77" spans="1:7" x14ac:dyDescent="0.2">
      <c r="A77" s="43"/>
      <c r="B77" s="44"/>
      <c r="C77" s="43"/>
      <c r="D77" s="43"/>
      <c r="E77" s="43"/>
      <c r="F77" s="44"/>
      <c r="G77" s="43"/>
    </row>
    <row r="78" spans="1:7" x14ac:dyDescent="0.2">
      <c r="A78" s="44"/>
      <c r="B78" s="44"/>
      <c r="C78" s="44"/>
      <c r="D78" s="44"/>
      <c r="E78" s="44"/>
      <c r="F78" s="43"/>
      <c r="G78" s="44"/>
    </row>
    <row r="79" spans="1:7" x14ac:dyDescent="0.2">
      <c r="A79" s="43"/>
      <c r="B79" s="44"/>
      <c r="C79" s="44"/>
      <c r="D79" s="43"/>
      <c r="E79" s="43"/>
      <c r="F79" s="44"/>
      <c r="G79" s="43"/>
    </row>
    <row r="80" spans="1:7" x14ac:dyDescent="0.2">
      <c r="A80" s="44"/>
      <c r="B80" s="44"/>
      <c r="C80" s="44"/>
      <c r="D80" s="44"/>
      <c r="E80" s="44"/>
      <c r="F80" s="43"/>
      <c r="G80" s="44"/>
    </row>
    <row r="81" spans="1:7" x14ac:dyDescent="0.2">
      <c r="A81" s="43"/>
      <c r="B81" s="44"/>
      <c r="C81" s="44"/>
      <c r="D81" s="43"/>
      <c r="E81" s="43"/>
      <c r="F81" s="44"/>
      <c r="G81" s="43"/>
    </row>
    <row r="82" spans="1:7" x14ac:dyDescent="0.2">
      <c r="A82" s="44"/>
      <c r="B82" s="44"/>
      <c r="C82" s="44"/>
      <c r="D82" s="44"/>
      <c r="E82" s="44"/>
      <c r="F82" s="43"/>
      <c r="G82" s="44"/>
    </row>
    <row r="83" spans="1:7" x14ac:dyDescent="0.2">
      <c r="A83" s="43"/>
      <c r="B83" s="44"/>
      <c r="C83" s="44"/>
      <c r="D83" s="43"/>
      <c r="E83" s="43"/>
      <c r="F83" s="44"/>
      <c r="G83" s="43"/>
    </row>
    <row r="84" spans="1:7" x14ac:dyDescent="0.2">
      <c r="A84" s="44"/>
      <c r="B84" s="44"/>
      <c r="C84" s="44"/>
      <c r="D84" s="44"/>
      <c r="E84" s="44"/>
      <c r="F84" s="43"/>
      <c r="G84" s="44"/>
    </row>
    <row r="85" spans="1:7" x14ac:dyDescent="0.2">
      <c r="A85" s="43"/>
      <c r="B85" s="44"/>
      <c r="C85" s="44"/>
      <c r="D85" s="43"/>
      <c r="E85" s="43"/>
      <c r="F85" s="44"/>
      <c r="G85" s="43"/>
    </row>
    <row r="86" spans="1:7" x14ac:dyDescent="0.2">
      <c r="A86" s="44"/>
      <c r="B86" s="44"/>
      <c r="C86" s="44"/>
      <c r="D86" s="44"/>
      <c r="E86" s="44"/>
      <c r="F86" s="43"/>
      <c r="G86" s="44"/>
    </row>
    <row r="87" spans="1:7" x14ac:dyDescent="0.2">
      <c r="A87" s="43"/>
      <c r="B87" s="44"/>
      <c r="C87" s="44"/>
      <c r="D87" s="43"/>
      <c r="E87" s="43"/>
      <c r="F87" s="44"/>
      <c r="G87" s="43"/>
    </row>
    <row r="88" spans="1:7" x14ac:dyDescent="0.2">
      <c r="A88" s="44"/>
      <c r="B88" s="44"/>
      <c r="C88" s="44"/>
      <c r="D88" s="44"/>
      <c r="E88" s="44"/>
      <c r="F88" s="43"/>
      <c r="G88" s="44"/>
    </row>
    <row r="89" spans="1:7" x14ac:dyDescent="0.2">
      <c r="A89" s="43"/>
      <c r="B89" s="43"/>
      <c r="C89" s="44"/>
      <c r="D89" s="43"/>
      <c r="E89" s="43"/>
      <c r="F89" s="44"/>
      <c r="G89" s="43"/>
    </row>
    <row r="90" spans="1:7" x14ac:dyDescent="0.2">
      <c r="A90" s="44"/>
      <c r="B90" s="43"/>
      <c r="C90" s="44"/>
      <c r="D90" s="44"/>
      <c r="E90" s="44"/>
      <c r="F90" s="43"/>
      <c r="G90" s="44"/>
    </row>
    <row r="91" spans="1:7" x14ac:dyDescent="0.2">
      <c r="A91" s="43"/>
      <c r="B91" s="43"/>
      <c r="C91" s="44"/>
      <c r="D91" s="43"/>
      <c r="E91" s="43"/>
      <c r="F91" s="44"/>
      <c r="G91" s="43"/>
    </row>
    <row r="92" spans="1:7" x14ac:dyDescent="0.2">
      <c r="A92" s="44"/>
      <c r="B92" s="43"/>
      <c r="C92" s="44"/>
      <c r="D92" s="44"/>
      <c r="E92" s="44"/>
      <c r="F92" s="43"/>
      <c r="G92" s="44"/>
    </row>
    <row r="93" spans="1:7" x14ac:dyDescent="0.2">
      <c r="A93" s="43"/>
      <c r="B93" s="43"/>
      <c r="C93" s="43"/>
      <c r="D93" s="43"/>
      <c r="E93" s="43"/>
      <c r="F93" s="44"/>
      <c r="G93" s="43"/>
    </row>
    <row r="94" spans="1:7" x14ac:dyDescent="0.2">
      <c r="A94" s="44"/>
      <c r="B94" s="43"/>
      <c r="C94" s="44"/>
      <c r="D94" s="44"/>
      <c r="E94" s="44"/>
      <c r="F94" s="43"/>
      <c r="G94" s="44"/>
    </row>
    <row r="95" spans="1:7" x14ac:dyDescent="0.2">
      <c r="A95" s="43"/>
      <c r="B95" s="43"/>
      <c r="C95" s="43"/>
      <c r="D95" s="43"/>
      <c r="E95" s="43"/>
      <c r="F95" s="44"/>
      <c r="G95" s="43"/>
    </row>
    <row r="96" spans="1:7" x14ac:dyDescent="0.2">
      <c r="A96" s="44"/>
      <c r="B96" s="43"/>
      <c r="C96" s="44"/>
      <c r="D96" s="44"/>
      <c r="E96" s="44"/>
      <c r="F96" s="43"/>
      <c r="G96" s="44"/>
    </row>
    <row r="97" spans="1:7" x14ac:dyDescent="0.2">
      <c r="A97" s="44"/>
      <c r="B97" s="44"/>
      <c r="C97" s="44"/>
      <c r="D97" s="44"/>
      <c r="E97" s="44"/>
      <c r="F97" s="44"/>
      <c r="G97" s="44"/>
    </row>
    <row r="98" spans="1:7" x14ac:dyDescent="0.2">
      <c r="A98" s="43"/>
      <c r="B98" s="43"/>
      <c r="C98" s="43"/>
      <c r="D98" s="43"/>
      <c r="E98" s="43"/>
      <c r="F98" s="43"/>
      <c r="G98" s="43"/>
    </row>
    <row r="99" spans="1:7" x14ac:dyDescent="0.2">
      <c r="A99" s="44"/>
      <c r="B99" s="44"/>
      <c r="C99" s="44"/>
      <c r="D99" s="44"/>
      <c r="E99" s="44"/>
      <c r="F99" s="44"/>
      <c r="G99" s="44"/>
    </row>
    <row r="100" spans="1:7" x14ac:dyDescent="0.2">
      <c r="A100" s="43"/>
      <c r="B100" s="43"/>
      <c r="C100" s="43"/>
      <c r="D100" s="43"/>
      <c r="E100" s="43"/>
      <c r="F100" s="43"/>
      <c r="G100" s="43"/>
    </row>
    <row r="101" spans="1:7" x14ac:dyDescent="0.2">
      <c r="A101" s="44"/>
      <c r="B101" s="44"/>
      <c r="C101" s="44"/>
      <c r="D101" s="44"/>
      <c r="E101" s="44"/>
      <c r="F101" s="44"/>
      <c r="G101" s="44"/>
    </row>
    <row r="102" spans="1:7" x14ac:dyDescent="0.2">
      <c r="A102" s="43"/>
      <c r="B102" s="43"/>
      <c r="C102" s="43"/>
      <c r="D102" s="43"/>
      <c r="E102" s="43"/>
      <c r="F102" s="43"/>
      <c r="G102" s="43"/>
    </row>
    <row r="103" spans="1:7" x14ac:dyDescent="0.2">
      <c r="A103" s="44"/>
      <c r="B103" s="44"/>
      <c r="C103" s="44"/>
      <c r="D103" s="44"/>
      <c r="E103" s="44"/>
      <c r="F103" s="44"/>
      <c r="G103" s="44"/>
    </row>
    <row r="104" spans="1:7" x14ac:dyDescent="0.2">
      <c r="A104" s="43"/>
      <c r="B104" s="43"/>
      <c r="C104" s="43"/>
      <c r="D104" s="43"/>
      <c r="E104" s="43"/>
      <c r="F104" s="43"/>
      <c r="G104" s="43"/>
    </row>
    <row r="105" spans="1:7" x14ac:dyDescent="0.2">
      <c r="A105" s="44"/>
      <c r="B105" s="44"/>
      <c r="C105" s="44"/>
      <c r="D105" s="44"/>
      <c r="E105" s="44"/>
      <c r="F105" s="44"/>
      <c r="G105" s="44"/>
    </row>
    <row r="106" spans="1:7" x14ac:dyDescent="0.2">
      <c r="A106" s="43"/>
      <c r="B106" s="43"/>
      <c r="C106" s="43"/>
      <c r="D106" s="43"/>
      <c r="E106" s="43"/>
      <c r="F106" s="43"/>
      <c r="G106" s="43"/>
    </row>
    <row r="107" spans="1:7" x14ac:dyDescent="0.2">
      <c r="A107" s="44"/>
      <c r="B107" s="44"/>
      <c r="C107" s="44"/>
      <c r="D107" s="44"/>
      <c r="E107" s="44"/>
      <c r="F107" s="44"/>
      <c r="G107" s="44"/>
    </row>
    <row r="108" spans="1:7" x14ac:dyDescent="0.2">
      <c r="A108" s="43"/>
      <c r="B108" s="43"/>
      <c r="C108" s="43"/>
      <c r="D108" s="43"/>
      <c r="E108" s="43"/>
      <c r="F108" s="43"/>
      <c r="G108" s="43"/>
    </row>
    <row r="109" spans="1:7" x14ac:dyDescent="0.2">
      <c r="A109" s="44"/>
      <c r="B109" s="44"/>
      <c r="C109" s="44"/>
      <c r="D109" s="44"/>
      <c r="E109" s="44"/>
      <c r="F109" s="44"/>
      <c r="G109" s="44"/>
    </row>
    <row r="110" spans="1:7" x14ac:dyDescent="0.2">
      <c r="A110" s="43"/>
      <c r="B110" s="43"/>
      <c r="C110" s="43"/>
      <c r="D110" s="43"/>
      <c r="E110" s="43"/>
      <c r="F110" s="43"/>
      <c r="G110" s="43"/>
    </row>
    <row r="111" spans="1:7" x14ac:dyDescent="0.2">
      <c r="A111" s="44"/>
      <c r="B111" s="44"/>
      <c r="C111" s="44"/>
      <c r="D111" s="44"/>
      <c r="E111" s="44"/>
      <c r="F111" s="44"/>
      <c r="G111" s="44"/>
    </row>
    <row r="112" spans="1:7" x14ac:dyDescent="0.2">
      <c r="A112" s="43"/>
      <c r="B112" s="43"/>
      <c r="C112" s="43"/>
      <c r="D112" s="43"/>
      <c r="E112" s="43"/>
      <c r="F112" s="43"/>
      <c r="G112" s="43"/>
    </row>
    <row r="113" spans="1:7" x14ac:dyDescent="0.2">
      <c r="A113" s="44"/>
      <c r="B113" s="44"/>
      <c r="C113" s="44"/>
      <c r="D113" s="44"/>
      <c r="E113" s="44"/>
      <c r="F113" s="44"/>
      <c r="G113" s="44"/>
    </row>
    <row r="114" spans="1:7" x14ac:dyDescent="0.2">
      <c r="A114" s="43"/>
      <c r="B114" s="43"/>
      <c r="C114" s="43"/>
      <c r="D114" s="43"/>
      <c r="E114" s="43"/>
      <c r="F114" s="43"/>
      <c r="G114" s="43"/>
    </row>
    <row r="115" spans="1:7" x14ac:dyDescent="0.2">
      <c r="A115" s="44"/>
      <c r="B115" s="44"/>
      <c r="C115" s="44"/>
      <c r="D115" s="44"/>
      <c r="E115" s="44"/>
      <c r="F115" s="44"/>
      <c r="G115" s="44"/>
    </row>
    <row r="116" spans="1:7" x14ac:dyDescent="0.2">
      <c r="A116" s="43"/>
      <c r="B116" s="43"/>
      <c r="C116" s="43"/>
      <c r="D116" s="43"/>
      <c r="E116" s="43"/>
      <c r="F116" s="43"/>
      <c r="G116" s="43"/>
    </row>
    <row r="117" spans="1:7" x14ac:dyDescent="0.2">
      <c r="A117" s="44"/>
      <c r="B117" s="44"/>
      <c r="C117" s="44"/>
      <c r="D117" s="44"/>
      <c r="E117" s="44"/>
      <c r="F117" s="44"/>
      <c r="G117" s="44"/>
    </row>
    <row r="118" spans="1:7" x14ac:dyDescent="0.2">
      <c r="A118" s="43"/>
      <c r="B118" s="43"/>
      <c r="C118" s="43"/>
      <c r="D118" s="43"/>
      <c r="E118" s="43"/>
      <c r="F118" s="43"/>
      <c r="G118" s="43"/>
    </row>
    <row r="119" spans="1:7" x14ac:dyDescent="0.2">
      <c r="A119" s="44"/>
      <c r="B119" s="44"/>
      <c r="C119" s="44"/>
      <c r="D119" s="44"/>
      <c r="E119" s="44"/>
      <c r="F119" s="44"/>
      <c r="G119" s="44"/>
    </row>
    <row r="120" spans="1:7" x14ac:dyDescent="0.2">
      <c r="A120" s="43"/>
      <c r="B120" s="43"/>
      <c r="C120" s="43"/>
      <c r="D120" s="43"/>
      <c r="E120" s="43"/>
      <c r="F120" s="43"/>
      <c r="G120" s="43"/>
    </row>
    <row r="121" spans="1:7" x14ac:dyDescent="0.2">
      <c r="A121" s="44"/>
      <c r="B121" s="44"/>
      <c r="C121" s="44"/>
      <c r="D121" s="44"/>
      <c r="E121" s="44"/>
      <c r="F121" s="44"/>
      <c r="G121" s="44"/>
    </row>
    <row r="122" spans="1:7" x14ac:dyDescent="0.2">
      <c r="A122" s="43"/>
      <c r="B122" s="43"/>
      <c r="C122" s="43"/>
      <c r="D122" s="43"/>
      <c r="E122" s="43"/>
      <c r="F122" s="43"/>
      <c r="G122" s="43"/>
    </row>
    <row r="123" spans="1:7" x14ac:dyDescent="0.2">
      <c r="A123" s="44"/>
      <c r="B123" s="44"/>
      <c r="C123" s="44"/>
      <c r="D123" s="44"/>
      <c r="E123" s="44"/>
      <c r="F123" s="44"/>
      <c r="G123" s="44"/>
    </row>
    <row r="124" spans="1:7" x14ac:dyDescent="0.2">
      <c r="A124" s="43"/>
      <c r="B124" s="43"/>
      <c r="C124" s="43"/>
      <c r="D124" s="43"/>
      <c r="E124" s="43"/>
      <c r="F124" s="43"/>
      <c r="G124" s="43"/>
    </row>
    <row r="125" spans="1:7" x14ac:dyDescent="0.2">
      <c r="A125" s="44"/>
      <c r="B125" s="44"/>
      <c r="C125" s="44"/>
      <c r="D125" s="44"/>
      <c r="E125" s="44"/>
      <c r="F125" s="44"/>
      <c r="G125" s="44"/>
    </row>
    <row r="126" spans="1:7" x14ac:dyDescent="0.2">
      <c r="A126" s="43"/>
      <c r="B126" s="43"/>
      <c r="C126" s="43"/>
      <c r="D126" s="43"/>
      <c r="E126" s="43"/>
      <c r="F126" s="43"/>
      <c r="G126" s="43"/>
    </row>
    <row r="127" spans="1:7" x14ac:dyDescent="0.2">
      <c r="A127" s="44"/>
      <c r="B127" s="44"/>
      <c r="C127" s="44"/>
      <c r="D127" s="44"/>
      <c r="E127" s="44"/>
      <c r="F127" s="44"/>
      <c r="G127" s="44"/>
    </row>
    <row r="128" spans="1:7" x14ac:dyDescent="0.2">
      <c r="A128" s="43"/>
      <c r="B128" s="43"/>
      <c r="C128" s="43"/>
      <c r="D128" s="43"/>
      <c r="E128" s="43"/>
      <c r="F128" s="43"/>
      <c r="G128" s="43"/>
    </row>
    <row r="129" spans="1:7" x14ac:dyDescent="0.2">
      <c r="A129" s="44"/>
      <c r="B129" s="44"/>
      <c r="C129" s="44"/>
      <c r="D129" s="44"/>
      <c r="E129" s="44"/>
      <c r="F129" s="44"/>
      <c r="G129" s="44"/>
    </row>
    <row r="130" spans="1:7" x14ac:dyDescent="0.2">
      <c r="A130" s="43"/>
      <c r="B130" s="43"/>
      <c r="C130" s="43"/>
      <c r="D130" s="43"/>
      <c r="E130" s="43"/>
      <c r="F130" s="43"/>
      <c r="G130" s="43"/>
    </row>
    <row r="131" spans="1:7" x14ac:dyDescent="0.2">
      <c r="A131" s="44"/>
      <c r="B131" s="44"/>
      <c r="C131" s="44"/>
      <c r="D131" s="44"/>
      <c r="E131" s="44"/>
      <c r="F131" s="44"/>
      <c r="G131" s="44"/>
    </row>
    <row r="132" spans="1:7" x14ac:dyDescent="0.2">
      <c r="A132" s="43"/>
      <c r="B132" s="43"/>
      <c r="C132" s="43"/>
      <c r="D132" s="43"/>
      <c r="E132" s="43"/>
      <c r="F132" s="43"/>
      <c r="G132" s="43"/>
    </row>
    <row r="133" spans="1:7" x14ac:dyDescent="0.2">
      <c r="A133" s="44"/>
      <c r="B133" s="44"/>
      <c r="C133" s="44"/>
      <c r="D133" s="44"/>
      <c r="E133" s="44"/>
      <c r="F133" s="44"/>
      <c r="G133" s="44"/>
    </row>
    <row r="134" spans="1:7" x14ac:dyDescent="0.2">
      <c r="A134" s="43"/>
      <c r="B134" s="43"/>
      <c r="C134" s="43"/>
      <c r="D134" s="43"/>
      <c r="E134" s="43"/>
      <c r="F134" s="43"/>
      <c r="G134" s="43"/>
    </row>
    <row r="135" spans="1:7" x14ac:dyDescent="0.2">
      <c r="A135" s="44"/>
      <c r="B135" s="44"/>
      <c r="C135" s="44"/>
      <c r="D135" s="44"/>
      <c r="E135" s="44"/>
      <c r="F135" s="44"/>
      <c r="G135" s="44"/>
    </row>
    <row r="136" spans="1:7" x14ac:dyDescent="0.2">
      <c r="A136" s="43"/>
      <c r="B136" s="43"/>
      <c r="C136" s="43"/>
      <c r="D136" s="43"/>
      <c r="E136" s="43"/>
      <c r="F136" s="43"/>
      <c r="G136" s="43"/>
    </row>
    <row r="137" spans="1:7" x14ac:dyDescent="0.2">
      <c r="A137" s="44"/>
      <c r="B137" s="44"/>
      <c r="C137" s="44"/>
      <c r="D137" s="44"/>
      <c r="E137" s="44"/>
      <c r="F137" s="44"/>
      <c r="G137" s="44"/>
    </row>
    <row r="138" spans="1:7" x14ac:dyDescent="0.2">
      <c r="A138" s="43"/>
      <c r="B138" s="43"/>
      <c r="C138" s="43"/>
      <c r="D138" s="43"/>
      <c r="E138" s="43"/>
      <c r="F138" s="43"/>
      <c r="G138" s="43"/>
    </row>
    <row r="139" spans="1:7" x14ac:dyDescent="0.2">
      <c r="A139" s="44"/>
      <c r="B139" s="44"/>
      <c r="C139" s="44"/>
      <c r="D139" s="44"/>
      <c r="E139" s="44"/>
      <c r="F139" s="44"/>
      <c r="G139" s="44"/>
    </row>
    <row r="140" spans="1:7" x14ac:dyDescent="0.2">
      <c r="A140" s="43"/>
      <c r="B140" s="43"/>
      <c r="C140" s="43"/>
      <c r="D140" s="43"/>
      <c r="E140" s="43"/>
      <c r="F140" s="43"/>
      <c r="G140" s="43"/>
    </row>
    <row r="141" spans="1:7" x14ac:dyDescent="0.2">
      <c r="A141" s="44"/>
      <c r="B141" s="44"/>
      <c r="C141" s="44"/>
      <c r="D141" s="44"/>
      <c r="E141" s="44"/>
      <c r="F141" s="44"/>
      <c r="G141" s="44"/>
    </row>
    <row r="142" spans="1:7" x14ac:dyDescent="0.2">
      <c r="A142" s="43"/>
      <c r="B142" s="43"/>
      <c r="C142" s="43"/>
      <c r="D142" s="43"/>
      <c r="E142" s="43"/>
      <c r="F142" s="43"/>
      <c r="G142" s="43"/>
    </row>
    <row r="143" spans="1:7" x14ac:dyDescent="0.2">
      <c r="A143" s="44"/>
      <c r="B143" s="44"/>
      <c r="C143" s="44"/>
      <c r="D143" s="44"/>
      <c r="E143" s="44"/>
      <c r="F143" s="44"/>
      <c r="G143" s="44"/>
    </row>
    <row r="144" spans="1:7" x14ac:dyDescent="0.2">
      <c r="A144" s="43"/>
      <c r="B144" s="43"/>
      <c r="C144" s="43"/>
      <c r="D144" s="43"/>
      <c r="E144" s="43"/>
      <c r="F144" s="43"/>
      <c r="G144" s="43"/>
    </row>
    <row r="145" spans="1:7" x14ac:dyDescent="0.2">
      <c r="A145" s="44"/>
      <c r="B145" s="44"/>
      <c r="C145" s="44"/>
      <c r="D145" s="44"/>
      <c r="E145" s="44"/>
      <c r="F145" s="44"/>
      <c r="G145" s="44"/>
    </row>
    <row r="146" spans="1:7" x14ac:dyDescent="0.2">
      <c r="A146" s="43"/>
      <c r="B146" s="43"/>
      <c r="C146" s="43"/>
      <c r="D146" s="43"/>
      <c r="E146" s="43"/>
      <c r="F146" s="43"/>
      <c r="G146" s="43"/>
    </row>
    <row r="147" spans="1:7" x14ac:dyDescent="0.2">
      <c r="A147" s="44"/>
      <c r="B147" s="44"/>
      <c r="C147" s="44"/>
      <c r="D147" s="44"/>
      <c r="E147" s="44"/>
      <c r="F147" s="44"/>
      <c r="G147" s="44"/>
    </row>
    <row r="148" spans="1:7" x14ac:dyDescent="0.2">
      <c r="A148" s="43"/>
      <c r="B148" s="43"/>
      <c r="C148" s="43"/>
      <c r="D148" s="43"/>
      <c r="E148" s="43"/>
      <c r="F148" s="43"/>
      <c r="G148" s="43"/>
    </row>
    <row r="149" spans="1:7" x14ac:dyDescent="0.2">
      <c r="A149" s="44"/>
      <c r="B149" s="44"/>
      <c r="C149" s="44"/>
      <c r="D149" s="44"/>
      <c r="E149" s="44"/>
      <c r="F149" s="44"/>
      <c r="G149" s="44"/>
    </row>
    <row r="150" spans="1:7" x14ac:dyDescent="0.2">
      <c r="A150" s="43"/>
      <c r="B150" s="43"/>
      <c r="C150" s="43"/>
      <c r="D150" s="43"/>
      <c r="E150" s="43"/>
      <c r="F150" s="43"/>
      <c r="G150" s="43"/>
    </row>
    <row r="151" spans="1:7" x14ac:dyDescent="0.2">
      <c r="A151" s="44"/>
      <c r="B151" s="44"/>
      <c r="C151" s="44"/>
      <c r="D151" s="44"/>
      <c r="E151" s="44"/>
      <c r="F151" s="44"/>
      <c r="G151" s="44"/>
    </row>
    <row r="152" spans="1:7" x14ac:dyDescent="0.2">
      <c r="A152" s="43"/>
      <c r="B152" s="43"/>
      <c r="C152" s="43"/>
      <c r="D152" s="43"/>
      <c r="E152" s="43"/>
      <c r="F152" s="43"/>
      <c r="G152" s="43"/>
    </row>
    <row r="153" spans="1:7" x14ac:dyDescent="0.2">
      <c r="A153" s="44"/>
      <c r="B153" s="44"/>
      <c r="C153" s="44"/>
      <c r="D153" s="44"/>
      <c r="E153" s="44"/>
      <c r="F153" s="44"/>
      <c r="G153" s="44"/>
    </row>
    <row r="154" spans="1:7" x14ac:dyDescent="0.2">
      <c r="A154" s="43"/>
      <c r="B154" s="43"/>
      <c r="C154" s="43"/>
      <c r="D154" s="43"/>
      <c r="E154" s="43"/>
      <c r="F154" s="43"/>
      <c r="G154" s="43"/>
    </row>
    <row r="155" spans="1:7" x14ac:dyDescent="0.2">
      <c r="A155" s="44"/>
      <c r="B155" s="44"/>
      <c r="C155" s="44"/>
      <c r="D155" s="44"/>
      <c r="E155" s="44"/>
      <c r="F155" s="44"/>
      <c r="G155" s="44"/>
    </row>
    <row r="156" spans="1:7" x14ac:dyDescent="0.2">
      <c r="A156" s="43"/>
      <c r="B156" s="43"/>
      <c r="C156" s="43"/>
      <c r="D156" s="43"/>
      <c r="E156" s="43"/>
      <c r="F156" s="43"/>
      <c r="G156" s="43"/>
    </row>
    <row r="157" spans="1:7" x14ac:dyDescent="0.2">
      <c r="A157" s="44"/>
      <c r="B157" s="44"/>
      <c r="C157" s="44"/>
      <c r="D157" s="44"/>
      <c r="E157" s="44"/>
      <c r="F157" s="44"/>
      <c r="G157" s="44"/>
    </row>
    <row r="158" spans="1:7" x14ac:dyDescent="0.2">
      <c r="A158" s="43"/>
      <c r="B158" s="43"/>
      <c r="C158" s="43"/>
      <c r="D158" s="43"/>
      <c r="E158" s="43"/>
      <c r="F158" s="43"/>
      <c r="G158" s="43"/>
    </row>
    <row r="159" spans="1:7" x14ac:dyDescent="0.2">
      <c r="A159" s="44"/>
      <c r="B159" s="44"/>
      <c r="C159" s="44"/>
      <c r="D159" s="44"/>
      <c r="E159" s="44"/>
      <c r="F159" s="44"/>
      <c r="G159" s="44"/>
    </row>
    <row r="160" spans="1:7" x14ac:dyDescent="0.2">
      <c r="A160" s="43"/>
      <c r="B160" s="43"/>
      <c r="C160" s="43"/>
      <c r="D160" s="43"/>
      <c r="E160" s="43"/>
      <c r="F160" s="43"/>
      <c r="G160" s="43"/>
    </row>
    <row r="161" spans="1:7" x14ac:dyDescent="0.2">
      <c r="A161" s="44"/>
      <c r="B161" s="44"/>
      <c r="C161" s="44"/>
      <c r="D161" s="44"/>
      <c r="E161" s="44"/>
      <c r="F161" s="44"/>
      <c r="G161" s="44"/>
    </row>
    <row r="162" spans="1:7" x14ac:dyDescent="0.2">
      <c r="A162" s="43"/>
      <c r="B162" s="43"/>
      <c r="C162" s="43"/>
      <c r="D162" s="43"/>
      <c r="E162" s="43"/>
      <c r="F162" s="43"/>
      <c r="G162" s="43"/>
    </row>
    <row r="163" spans="1:7" x14ac:dyDescent="0.2">
      <c r="A163" s="44"/>
      <c r="B163" s="44"/>
      <c r="C163" s="44"/>
      <c r="D163" s="44"/>
      <c r="E163" s="44"/>
      <c r="F163" s="44"/>
      <c r="G163" s="44"/>
    </row>
    <row r="164" spans="1:7" x14ac:dyDescent="0.2">
      <c r="A164" s="43"/>
      <c r="B164" s="43"/>
      <c r="C164" s="43"/>
      <c r="D164" s="43"/>
      <c r="E164" s="43"/>
      <c r="F164" s="43"/>
      <c r="G164" s="43"/>
    </row>
    <row r="165" spans="1:7" x14ac:dyDescent="0.2">
      <c r="A165" s="44"/>
      <c r="B165" s="44"/>
      <c r="C165" s="44"/>
      <c r="D165" s="44"/>
      <c r="E165" s="44"/>
      <c r="F165" s="44"/>
      <c r="G165" s="44"/>
    </row>
    <row r="166" spans="1:7" x14ac:dyDescent="0.2">
      <c r="A166" s="43"/>
      <c r="B166" s="43"/>
      <c r="C166" s="43"/>
      <c r="D166" s="43"/>
      <c r="E166" s="43"/>
      <c r="F166" s="43"/>
      <c r="G166" s="43"/>
    </row>
    <row r="167" spans="1:7" x14ac:dyDescent="0.2">
      <c r="A167" s="44"/>
      <c r="B167" s="44"/>
      <c r="C167" s="44"/>
      <c r="D167" s="44"/>
      <c r="E167" s="44"/>
      <c r="F167" s="44"/>
      <c r="G167" s="44"/>
    </row>
    <row r="168" spans="1:7" x14ac:dyDescent="0.2">
      <c r="A168" s="43"/>
      <c r="B168" s="43"/>
      <c r="C168" s="43"/>
      <c r="D168" s="43"/>
      <c r="E168" s="43"/>
      <c r="F168" s="43"/>
      <c r="G168" s="43"/>
    </row>
    <row r="169" spans="1:7" x14ac:dyDescent="0.2">
      <c r="A169" s="44"/>
      <c r="B169" s="44"/>
      <c r="C169" s="44"/>
      <c r="D169" s="44"/>
      <c r="E169" s="44"/>
      <c r="F169" s="44"/>
      <c r="G169" s="44"/>
    </row>
    <row r="170" spans="1:7" x14ac:dyDescent="0.2">
      <c r="A170" s="43"/>
      <c r="B170" s="43"/>
      <c r="C170" s="43"/>
      <c r="D170" s="43"/>
      <c r="E170" s="43"/>
      <c r="F170" s="43"/>
      <c r="G170" s="43"/>
    </row>
    <row r="171" spans="1:7" x14ac:dyDescent="0.2">
      <c r="A171" s="44"/>
      <c r="B171" s="44"/>
      <c r="C171" s="44"/>
      <c r="D171" s="44"/>
      <c r="E171" s="44"/>
      <c r="F171" s="44"/>
      <c r="G171" s="44"/>
    </row>
    <row r="172" spans="1:7" x14ac:dyDescent="0.2">
      <c r="A172" s="43"/>
      <c r="B172" s="43"/>
      <c r="C172" s="43"/>
      <c r="D172" s="43"/>
      <c r="E172" s="43"/>
      <c r="F172" s="43"/>
      <c r="G172" s="43"/>
    </row>
    <row r="173" spans="1:7" x14ac:dyDescent="0.2">
      <c r="A173" s="44"/>
      <c r="B173" s="44"/>
      <c r="C173" s="44"/>
      <c r="D173" s="44"/>
      <c r="E173" s="44"/>
      <c r="F173" s="44"/>
      <c r="G173" s="44"/>
    </row>
    <row r="174" spans="1:7" x14ac:dyDescent="0.2">
      <c r="A174" s="43"/>
      <c r="B174" s="43"/>
      <c r="C174" s="43"/>
      <c r="D174" s="43"/>
      <c r="E174" s="43"/>
      <c r="F174" s="43"/>
      <c r="G174" s="43"/>
    </row>
    <row r="175" spans="1:7" x14ac:dyDescent="0.2">
      <c r="A175" s="44"/>
      <c r="B175" s="44"/>
      <c r="C175" s="44"/>
      <c r="D175" s="44"/>
      <c r="E175" s="44"/>
      <c r="F175" s="44"/>
      <c r="G175" s="44"/>
    </row>
    <row r="176" spans="1:7" x14ac:dyDescent="0.2">
      <c r="A176" s="43"/>
      <c r="B176" s="43"/>
      <c r="C176" s="43"/>
      <c r="D176" s="43"/>
      <c r="E176" s="43"/>
      <c r="F176" s="43"/>
      <c r="G176" s="43"/>
    </row>
    <row r="177" spans="1:7" x14ac:dyDescent="0.2">
      <c r="A177" s="44"/>
      <c r="B177" s="44"/>
      <c r="C177" s="44"/>
      <c r="D177" s="44"/>
      <c r="E177" s="44"/>
      <c r="F177" s="44"/>
      <c r="G177" s="44"/>
    </row>
    <row r="178" spans="1:7" x14ac:dyDescent="0.2">
      <c r="A178" s="43"/>
      <c r="B178" s="43"/>
      <c r="C178" s="43"/>
      <c r="D178" s="43"/>
      <c r="E178" s="43"/>
      <c r="F178" s="43"/>
      <c r="G178" s="43"/>
    </row>
    <row r="179" spans="1:7" x14ac:dyDescent="0.2">
      <c r="A179" s="44"/>
      <c r="B179" s="44"/>
      <c r="C179" s="44"/>
      <c r="D179" s="44"/>
      <c r="E179" s="44"/>
      <c r="F179" s="44"/>
      <c r="G179" s="44"/>
    </row>
    <row r="180" spans="1:7" x14ac:dyDescent="0.2">
      <c r="A180" s="43"/>
      <c r="B180" s="43"/>
      <c r="C180" s="43"/>
      <c r="D180" s="43"/>
      <c r="E180" s="43"/>
      <c r="F180" s="43"/>
      <c r="G180" s="43"/>
    </row>
    <row r="181" spans="1:7" x14ac:dyDescent="0.2">
      <c r="A181" s="44"/>
      <c r="B181" s="44"/>
      <c r="C181" s="44"/>
      <c r="D181" s="44"/>
      <c r="E181" s="44"/>
      <c r="F181" s="44"/>
      <c r="G181" s="44"/>
    </row>
    <row r="182" spans="1:7" x14ac:dyDescent="0.2">
      <c r="A182" s="43"/>
      <c r="B182" s="43"/>
      <c r="C182" s="43"/>
      <c r="D182" s="43"/>
      <c r="E182" s="43"/>
      <c r="F182" s="43"/>
      <c r="G182" s="43"/>
    </row>
    <row r="183" spans="1:7" x14ac:dyDescent="0.2">
      <c r="A183" s="44"/>
      <c r="B183" s="44"/>
      <c r="C183" s="44"/>
      <c r="D183" s="44"/>
      <c r="E183" s="44"/>
      <c r="F183" s="44"/>
      <c r="G183" s="44"/>
    </row>
    <row r="184" spans="1:7" x14ac:dyDescent="0.2">
      <c r="A184" s="43"/>
      <c r="B184" s="43"/>
      <c r="C184" s="43"/>
      <c r="D184" s="43"/>
      <c r="E184" s="43"/>
      <c r="F184" s="43"/>
      <c r="G184" s="43"/>
    </row>
    <row r="185" spans="1:7" x14ac:dyDescent="0.2">
      <c r="A185" s="44"/>
      <c r="B185" s="44"/>
      <c r="C185" s="44"/>
      <c r="D185" s="44"/>
      <c r="E185" s="44"/>
      <c r="F185" s="44"/>
      <c r="G185" s="44"/>
    </row>
    <row r="186" spans="1:7" x14ac:dyDescent="0.2">
      <c r="A186" s="43"/>
      <c r="B186" s="43"/>
      <c r="C186" s="43"/>
      <c r="D186" s="43"/>
      <c r="E186" s="43"/>
      <c r="F186" s="43"/>
      <c r="G186" s="43"/>
    </row>
    <row r="187" spans="1:7" x14ac:dyDescent="0.2">
      <c r="A187" s="44"/>
      <c r="B187" s="44"/>
      <c r="C187" s="44"/>
      <c r="D187" s="44"/>
      <c r="E187" s="44"/>
      <c r="F187" s="44"/>
      <c r="G187" s="44"/>
    </row>
    <row r="188" spans="1:7" x14ac:dyDescent="0.2">
      <c r="A188" s="43"/>
      <c r="B188" s="43"/>
      <c r="C188" s="43"/>
      <c r="D188" s="43"/>
      <c r="E188" s="43"/>
      <c r="F188" s="43"/>
      <c r="G188" s="43"/>
    </row>
    <row r="189" spans="1:7" x14ac:dyDescent="0.2">
      <c r="A189" s="44"/>
      <c r="B189" s="44"/>
      <c r="C189" s="44"/>
      <c r="D189" s="44"/>
      <c r="E189" s="44"/>
      <c r="F189" s="44"/>
      <c r="G189" s="44"/>
    </row>
    <row r="190" spans="1:7" x14ac:dyDescent="0.2">
      <c r="A190" s="43"/>
      <c r="B190" s="43"/>
      <c r="C190" s="43"/>
      <c r="D190" s="43"/>
      <c r="E190" s="43"/>
      <c r="F190" s="43"/>
      <c r="G190" s="43"/>
    </row>
    <row r="191" spans="1:7" x14ac:dyDescent="0.2">
      <c r="A191" s="44"/>
      <c r="B191" s="44"/>
      <c r="C191" s="44"/>
      <c r="D191" s="44"/>
      <c r="E191" s="44"/>
      <c r="F191" s="44"/>
      <c r="G191" s="44"/>
    </row>
    <row r="192" spans="1:7" x14ac:dyDescent="0.2">
      <c r="A192" s="43"/>
      <c r="B192" s="43"/>
      <c r="C192" s="43"/>
      <c r="D192" s="43"/>
      <c r="E192" s="43"/>
      <c r="F192" s="43"/>
      <c r="G192" s="43"/>
    </row>
    <row r="193" spans="1:7" x14ac:dyDescent="0.2">
      <c r="A193" s="44"/>
      <c r="B193" s="44"/>
      <c r="C193" s="44"/>
      <c r="D193" s="44"/>
      <c r="E193" s="44"/>
      <c r="F193" s="44"/>
      <c r="G193" s="44"/>
    </row>
    <row r="194" spans="1:7" x14ac:dyDescent="0.2">
      <c r="A194" s="43"/>
      <c r="B194" s="43"/>
      <c r="C194" s="43"/>
      <c r="D194" s="43"/>
      <c r="E194" s="43"/>
      <c r="F194" s="43"/>
      <c r="G194" s="43"/>
    </row>
    <row r="195" spans="1:7" x14ac:dyDescent="0.2">
      <c r="A195" s="44"/>
      <c r="B195" s="44"/>
      <c r="C195" s="44"/>
      <c r="D195" s="44"/>
      <c r="E195" s="44"/>
      <c r="F195" s="44"/>
      <c r="G195" s="44"/>
    </row>
    <row r="196" spans="1:7" x14ac:dyDescent="0.2">
      <c r="A196" s="43"/>
      <c r="B196" s="43"/>
      <c r="C196" s="43"/>
      <c r="D196" s="43"/>
      <c r="E196" s="43"/>
      <c r="F196" s="43"/>
      <c r="G196" s="43"/>
    </row>
    <row r="197" spans="1:7" x14ac:dyDescent="0.2">
      <c r="A197" s="44"/>
      <c r="B197" s="44"/>
      <c r="C197" s="44"/>
      <c r="D197" s="44"/>
      <c r="E197" s="44"/>
      <c r="F197" s="44"/>
      <c r="G197" s="44"/>
    </row>
    <row r="198" spans="1:7" x14ac:dyDescent="0.2">
      <c r="A198" s="43"/>
      <c r="B198" s="43"/>
      <c r="C198" s="43"/>
      <c r="D198" s="43"/>
      <c r="E198" s="43"/>
      <c r="F198" s="43"/>
      <c r="G198" s="43"/>
    </row>
    <row r="199" spans="1:7" x14ac:dyDescent="0.2">
      <c r="A199" s="44"/>
      <c r="B199" s="44"/>
      <c r="C199" s="44"/>
      <c r="D199" s="44"/>
      <c r="E199" s="44"/>
      <c r="F199" s="44"/>
      <c r="G199" s="44"/>
    </row>
    <row r="200" spans="1:7" x14ac:dyDescent="0.2">
      <c r="A200" s="43"/>
      <c r="B200" s="43"/>
      <c r="C200" s="43"/>
      <c r="D200" s="43"/>
      <c r="E200" s="43"/>
      <c r="F200" s="43"/>
      <c r="G200" s="43"/>
    </row>
    <row r="201" spans="1:7" x14ac:dyDescent="0.2">
      <c r="A201" s="44"/>
      <c r="B201" s="44"/>
      <c r="C201" s="44"/>
      <c r="D201" s="44"/>
      <c r="E201" s="44"/>
      <c r="F201" s="44"/>
      <c r="G201" s="44"/>
    </row>
    <row r="202" spans="1:7" x14ac:dyDescent="0.2">
      <c r="A202" s="43"/>
      <c r="B202" s="43"/>
      <c r="C202" s="43"/>
      <c r="D202" s="43"/>
      <c r="E202" s="43"/>
      <c r="F202" s="43"/>
      <c r="G202" s="43"/>
    </row>
    <row r="203" spans="1:7" x14ac:dyDescent="0.2">
      <c r="A203" s="44"/>
      <c r="B203" s="44"/>
      <c r="C203" s="44"/>
      <c r="D203" s="44"/>
      <c r="E203" s="44"/>
      <c r="F203" s="44"/>
      <c r="G203" s="44"/>
    </row>
    <row r="204" spans="1:7" x14ac:dyDescent="0.2">
      <c r="A204" s="43"/>
      <c r="B204" s="43"/>
      <c r="C204" s="43"/>
      <c r="D204" s="43"/>
      <c r="E204" s="43"/>
      <c r="F204" s="43"/>
      <c r="G204" s="43"/>
    </row>
    <row r="205" spans="1:7" x14ac:dyDescent="0.2">
      <c r="A205" s="44"/>
      <c r="B205" s="44"/>
      <c r="C205" s="44"/>
      <c r="D205" s="44"/>
      <c r="E205" s="44"/>
      <c r="F205" s="44"/>
      <c r="G205" s="44"/>
    </row>
    <row r="206" spans="1:7" x14ac:dyDescent="0.2">
      <c r="A206" s="43"/>
      <c r="B206" s="43"/>
      <c r="C206" s="43"/>
      <c r="D206" s="43"/>
      <c r="E206" s="43"/>
      <c r="F206" s="43"/>
      <c r="G206" s="43"/>
    </row>
    <row r="207" spans="1:7" x14ac:dyDescent="0.2">
      <c r="A207" s="44"/>
      <c r="B207" s="44"/>
      <c r="C207" s="44"/>
      <c r="D207" s="44"/>
      <c r="E207" s="44"/>
      <c r="F207" s="44"/>
      <c r="G207" s="44"/>
    </row>
    <row r="208" spans="1:7" x14ac:dyDescent="0.2">
      <c r="A208" s="43"/>
      <c r="B208" s="43"/>
      <c r="C208" s="43"/>
      <c r="D208" s="43"/>
      <c r="E208" s="43"/>
      <c r="F208" s="43"/>
      <c r="G208" s="43"/>
    </row>
    <row r="209" spans="1:7" x14ac:dyDescent="0.2">
      <c r="A209" s="44"/>
      <c r="B209" s="44"/>
      <c r="C209" s="44"/>
      <c r="D209" s="44"/>
      <c r="E209" s="44"/>
      <c r="F209" s="44"/>
      <c r="G209" s="44"/>
    </row>
    <row r="210" spans="1:7" x14ac:dyDescent="0.2">
      <c r="A210" s="43"/>
      <c r="B210" s="43"/>
      <c r="C210" s="43"/>
      <c r="D210" s="43"/>
      <c r="E210" s="43"/>
      <c r="F210" s="43"/>
      <c r="G210" s="43"/>
    </row>
    <row r="211" spans="1:7" x14ac:dyDescent="0.2">
      <c r="A211" s="44"/>
      <c r="B211" s="44"/>
      <c r="C211" s="44"/>
      <c r="D211" s="44"/>
      <c r="E211" s="44"/>
      <c r="F211" s="44"/>
      <c r="G211" s="44"/>
    </row>
    <row r="212" spans="1:7" x14ac:dyDescent="0.2">
      <c r="A212" s="43"/>
      <c r="B212" s="43"/>
      <c r="C212" s="43"/>
      <c r="D212" s="43"/>
      <c r="E212" s="43"/>
      <c r="F212" s="43"/>
      <c r="G212" s="43"/>
    </row>
    <row r="213" spans="1:7" x14ac:dyDescent="0.2">
      <c r="A213" s="44"/>
      <c r="B213" s="44"/>
      <c r="C213" s="44"/>
      <c r="D213" s="44"/>
      <c r="E213" s="44"/>
      <c r="F213" s="44"/>
      <c r="G213" s="44"/>
    </row>
    <row r="214" spans="1:7" x14ac:dyDescent="0.2">
      <c r="A214" s="43"/>
      <c r="B214" s="43"/>
      <c r="C214" s="43"/>
      <c r="D214" s="43"/>
      <c r="E214" s="43"/>
      <c r="F214" s="43"/>
      <c r="G214" s="43"/>
    </row>
    <row r="215" spans="1:7" x14ac:dyDescent="0.2">
      <c r="A215" s="44"/>
      <c r="B215" s="44"/>
      <c r="C215" s="44"/>
      <c r="D215" s="44"/>
      <c r="E215" s="44"/>
      <c r="F215" s="44"/>
      <c r="G215" s="44"/>
    </row>
    <row r="216" spans="1:7" x14ac:dyDescent="0.2">
      <c r="A216" s="43"/>
      <c r="B216" s="43"/>
      <c r="C216" s="43"/>
      <c r="D216" s="43"/>
      <c r="E216" s="43"/>
      <c r="F216" s="43"/>
      <c r="G216" s="43"/>
    </row>
    <row r="217" spans="1:7" x14ac:dyDescent="0.2">
      <c r="A217" s="44"/>
      <c r="B217" s="44"/>
      <c r="C217" s="44"/>
      <c r="D217" s="44"/>
      <c r="E217" s="44"/>
      <c r="F217" s="44"/>
      <c r="G217" s="44"/>
    </row>
    <row r="218" spans="1:7" x14ac:dyDescent="0.2">
      <c r="A218" s="43"/>
      <c r="B218" s="43"/>
      <c r="C218" s="43"/>
      <c r="D218" s="43"/>
      <c r="E218" s="43"/>
      <c r="F218" s="43"/>
      <c r="G218" s="43"/>
    </row>
    <row r="219" spans="1:7" x14ac:dyDescent="0.2">
      <c r="A219" s="44"/>
      <c r="B219" s="44"/>
      <c r="C219" s="44"/>
      <c r="D219" s="44"/>
      <c r="E219" s="44"/>
      <c r="F219" s="44"/>
      <c r="G219" s="44"/>
    </row>
    <row r="220" spans="1:7" x14ac:dyDescent="0.2">
      <c r="A220" s="43"/>
      <c r="B220" s="43"/>
      <c r="C220" s="43"/>
      <c r="D220" s="43"/>
      <c r="E220" s="43"/>
      <c r="F220" s="43"/>
      <c r="G220" s="43"/>
    </row>
    <row r="221" spans="1:7" x14ac:dyDescent="0.2">
      <c r="A221" s="44"/>
      <c r="B221" s="44"/>
      <c r="C221" s="44"/>
      <c r="D221" s="44"/>
      <c r="E221" s="44"/>
      <c r="F221" s="44"/>
      <c r="G221" s="44"/>
    </row>
    <row r="222" spans="1:7" x14ac:dyDescent="0.2">
      <c r="A222" s="43"/>
      <c r="B222" s="43"/>
      <c r="C222" s="43"/>
      <c r="D222" s="43"/>
      <c r="E222" s="43"/>
      <c r="F222" s="43"/>
      <c r="G222" s="43"/>
    </row>
    <row r="223" spans="1:7" x14ac:dyDescent="0.2">
      <c r="A223" s="44"/>
      <c r="B223" s="44"/>
      <c r="C223" s="44"/>
      <c r="D223" s="44"/>
      <c r="E223" s="44"/>
      <c r="F223" s="44"/>
      <c r="G223" s="44"/>
    </row>
    <row r="224" spans="1:7" x14ac:dyDescent="0.2">
      <c r="A224" s="43"/>
      <c r="B224" s="43"/>
      <c r="C224" s="43"/>
      <c r="D224" s="43"/>
      <c r="E224" s="43"/>
      <c r="F224" s="43"/>
      <c r="G224" s="43"/>
    </row>
    <row r="225" spans="1:7" x14ac:dyDescent="0.2">
      <c r="A225" s="44"/>
      <c r="B225" s="44"/>
      <c r="C225" s="44"/>
      <c r="D225" s="44"/>
      <c r="E225" s="44"/>
      <c r="F225" s="44"/>
      <c r="G225" s="44"/>
    </row>
    <row r="226" spans="1:7" x14ac:dyDescent="0.2">
      <c r="A226" s="43"/>
      <c r="B226" s="43"/>
      <c r="C226" s="43"/>
      <c r="D226" s="43"/>
      <c r="E226" s="43"/>
      <c r="F226" s="43"/>
      <c r="G226" s="43"/>
    </row>
    <row r="227" spans="1:7" x14ac:dyDescent="0.2">
      <c r="A227" s="44"/>
      <c r="B227" s="44"/>
      <c r="C227" s="44"/>
      <c r="D227" s="44"/>
      <c r="E227" s="44"/>
      <c r="F227" s="44"/>
      <c r="G227" s="44"/>
    </row>
    <row r="228" spans="1:7" x14ac:dyDescent="0.2">
      <c r="A228" s="43"/>
      <c r="B228" s="43"/>
      <c r="C228" s="43"/>
      <c r="D228" s="43"/>
      <c r="E228" s="43"/>
      <c r="F228" s="43"/>
      <c r="G228" s="43"/>
    </row>
    <row r="229" spans="1:7" x14ac:dyDescent="0.2">
      <c r="A229" s="44"/>
      <c r="B229" s="44"/>
      <c r="C229" s="44"/>
      <c r="D229" s="44"/>
      <c r="E229" s="44"/>
      <c r="F229" s="44"/>
      <c r="G229" s="44"/>
    </row>
    <row r="230" spans="1:7" x14ac:dyDescent="0.2">
      <c r="A230" s="43"/>
      <c r="B230" s="43"/>
      <c r="C230" s="43"/>
      <c r="D230" s="43"/>
      <c r="E230" s="43"/>
      <c r="F230" s="43"/>
      <c r="G230" s="43"/>
    </row>
    <row r="231" spans="1:7" x14ac:dyDescent="0.2">
      <c r="A231" s="44"/>
      <c r="B231" s="44"/>
      <c r="C231" s="44"/>
      <c r="D231" s="44"/>
      <c r="E231" s="44"/>
      <c r="F231" s="44"/>
      <c r="G231" s="44"/>
    </row>
    <row r="232" spans="1:7" x14ac:dyDescent="0.2">
      <c r="A232" s="43"/>
      <c r="B232" s="43"/>
      <c r="C232" s="43"/>
      <c r="D232" s="43"/>
      <c r="E232" s="43"/>
      <c r="F232" s="43"/>
      <c r="G232" s="43"/>
    </row>
    <row r="233" spans="1:7" x14ac:dyDescent="0.2">
      <c r="A233" s="44"/>
      <c r="B233" s="44"/>
      <c r="C233" s="44"/>
      <c r="D233" s="44"/>
      <c r="E233" s="44"/>
      <c r="F233" s="44"/>
      <c r="G233" s="44"/>
    </row>
    <row r="234" spans="1:7" x14ac:dyDescent="0.2">
      <c r="A234" s="43"/>
      <c r="B234" s="43"/>
      <c r="C234" s="43"/>
      <c r="D234" s="43"/>
      <c r="E234" s="43"/>
      <c r="F234" s="43"/>
      <c r="G234" s="43"/>
    </row>
    <row r="235" spans="1:7" x14ac:dyDescent="0.2">
      <c r="A235" s="44"/>
      <c r="B235" s="44"/>
      <c r="C235" s="44"/>
      <c r="D235" s="44"/>
      <c r="E235" s="44"/>
      <c r="F235" s="44"/>
      <c r="G235" s="44"/>
    </row>
    <row r="236" spans="1:7" x14ac:dyDescent="0.2">
      <c r="A236" s="43"/>
      <c r="B236" s="43"/>
      <c r="C236" s="43"/>
      <c r="D236" s="43"/>
      <c r="E236" s="43"/>
      <c r="F236" s="43"/>
      <c r="G236" s="43"/>
    </row>
    <row r="237" spans="1:7" x14ac:dyDescent="0.2">
      <c r="A237" s="44"/>
      <c r="B237" s="44"/>
      <c r="C237" s="44"/>
      <c r="D237" s="44"/>
      <c r="E237" s="44"/>
      <c r="F237" s="44"/>
      <c r="G237" s="44"/>
    </row>
    <row r="238" spans="1:7" x14ac:dyDescent="0.2">
      <c r="A238" s="43"/>
      <c r="B238" s="43"/>
      <c r="C238" s="43"/>
      <c r="D238" s="43"/>
      <c r="E238" s="43"/>
      <c r="F238" s="43"/>
      <c r="G238" s="43"/>
    </row>
    <row r="239" spans="1:7" x14ac:dyDescent="0.2">
      <c r="A239" s="44"/>
      <c r="B239" s="44"/>
      <c r="C239" s="44"/>
      <c r="D239" s="44"/>
      <c r="E239" s="44"/>
      <c r="F239" s="44"/>
      <c r="G239" s="44"/>
    </row>
    <row r="240" spans="1:7" x14ac:dyDescent="0.2">
      <c r="A240" s="43"/>
      <c r="B240" s="43"/>
      <c r="C240" s="43"/>
      <c r="D240" s="43"/>
      <c r="E240" s="43"/>
      <c r="F240" s="43"/>
      <c r="G240" s="43"/>
    </row>
    <row r="241" spans="1:7" x14ac:dyDescent="0.2">
      <c r="A241" s="44"/>
      <c r="B241" s="44"/>
      <c r="C241" s="44"/>
      <c r="D241" s="44"/>
      <c r="E241" s="44"/>
      <c r="F241" s="44"/>
      <c r="G241" s="44"/>
    </row>
    <row r="242" spans="1:7" x14ac:dyDescent="0.2">
      <c r="A242" s="43"/>
      <c r="B242" s="43"/>
      <c r="C242" s="43"/>
      <c r="D242" s="43"/>
      <c r="E242" s="43"/>
      <c r="F242" s="43"/>
      <c r="G242" s="43"/>
    </row>
    <row r="243" spans="1:7" x14ac:dyDescent="0.2">
      <c r="A243" s="44"/>
      <c r="B243" s="44"/>
      <c r="C243" s="44"/>
      <c r="D243" s="44"/>
      <c r="E243" s="44"/>
      <c r="F243" s="44"/>
      <c r="G243" s="44"/>
    </row>
    <row r="244" spans="1:7" x14ac:dyDescent="0.2">
      <c r="A244" s="43"/>
      <c r="B244" s="43"/>
      <c r="C244" s="43"/>
      <c r="D244" s="43"/>
      <c r="E244" s="43"/>
      <c r="F244" s="43"/>
      <c r="G244" s="43"/>
    </row>
    <row r="245" spans="1:7" x14ac:dyDescent="0.2">
      <c r="A245" s="44"/>
      <c r="B245" s="44"/>
      <c r="C245" s="44"/>
      <c r="D245" s="44"/>
      <c r="E245" s="44"/>
      <c r="F245" s="44"/>
      <c r="G245" s="44"/>
    </row>
    <row r="246" spans="1:7" x14ac:dyDescent="0.2">
      <c r="A246" s="43"/>
      <c r="B246" s="43"/>
      <c r="C246" s="43"/>
      <c r="D246" s="43"/>
      <c r="E246" s="43"/>
      <c r="F246" s="43"/>
      <c r="G246" s="43"/>
    </row>
    <row r="247" spans="1:7" x14ac:dyDescent="0.2">
      <c r="A247" s="44"/>
      <c r="B247" s="44"/>
      <c r="C247" s="44"/>
      <c r="D247" s="44"/>
      <c r="E247" s="44"/>
      <c r="F247" s="44"/>
      <c r="G247" s="44"/>
    </row>
    <row r="248" spans="1:7" x14ac:dyDescent="0.2">
      <c r="A248" s="43"/>
      <c r="B248" s="43"/>
      <c r="C248" s="43"/>
      <c r="D248" s="43"/>
      <c r="E248" s="43"/>
      <c r="F248" s="43"/>
      <c r="G248" s="43"/>
    </row>
    <row r="249" spans="1:7" x14ac:dyDescent="0.2">
      <c r="A249" s="44"/>
      <c r="B249" s="44"/>
      <c r="C249" s="44"/>
      <c r="D249" s="44"/>
      <c r="E249" s="44"/>
      <c r="F249" s="44"/>
      <c r="G249" s="44"/>
    </row>
    <row r="250" spans="1:7" x14ac:dyDescent="0.2">
      <c r="A250" s="43"/>
      <c r="B250" s="43"/>
      <c r="C250" s="43"/>
      <c r="D250" s="43"/>
      <c r="E250" s="43"/>
      <c r="F250" s="43"/>
      <c r="G250" s="43"/>
    </row>
    <row r="251" spans="1:7" x14ac:dyDescent="0.2">
      <c r="A251" s="44"/>
      <c r="B251" s="44"/>
      <c r="C251" s="44"/>
      <c r="D251" s="44"/>
      <c r="E251" s="44"/>
      <c r="F251" s="44"/>
      <c r="G251" s="44"/>
    </row>
    <row r="252" spans="1:7" x14ac:dyDescent="0.2">
      <c r="A252" s="43"/>
      <c r="B252" s="43"/>
      <c r="C252" s="43"/>
      <c r="D252" s="43"/>
      <c r="E252" s="43"/>
      <c r="F252" s="43"/>
      <c r="G252" s="43"/>
    </row>
    <row r="253" spans="1:7" x14ac:dyDescent="0.2">
      <c r="A253" s="44"/>
      <c r="B253" s="44"/>
      <c r="C253" s="44"/>
      <c r="D253" s="44"/>
      <c r="E253" s="44"/>
      <c r="F253" s="44"/>
      <c r="G253" s="44"/>
    </row>
    <row r="254" spans="1:7" x14ac:dyDescent="0.2">
      <c r="A254" s="43"/>
      <c r="B254" s="43"/>
      <c r="C254" s="43"/>
      <c r="D254" s="43"/>
      <c r="E254" s="43"/>
      <c r="F254" s="43"/>
      <c r="G254" s="43"/>
    </row>
    <row r="255" spans="1:7" x14ac:dyDescent="0.2">
      <c r="A255" s="44"/>
      <c r="B255" s="44"/>
      <c r="C255" s="44"/>
      <c r="D255" s="44"/>
      <c r="E255" s="44"/>
      <c r="F255" s="44"/>
      <c r="G255" s="44"/>
    </row>
    <row r="256" spans="1:7" x14ac:dyDescent="0.2">
      <c r="A256" s="43"/>
      <c r="B256" s="43"/>
      <c r="C256" s="43"/>
      <c r="D256" s="43"/>
      <c r="E256" s="43"/>
      <c r="F256" s="43"/>
      <c r="G256" s="43"/>
    </row>
    <row r="257" spans="1:7" x14ac:dyDescent="0.2">
      <c r="A257" s="44"/>
      <c r="B257" s="44"/>
      <c r="C257" s="44"/>
      <c r="D257" s="44"/>
      <c r="E257" s="44"/>
      <c r="F257" s="44"/>
      <c r="G257" s="44"/>
    </row>
    <row r="258" spans="1:7" x14ac:dyDescent="0.2">
      <c r="A258" s="43"/>
      <c r="B258" s="43"/>
      <c r="C258" s="43"/>
      <c r="D258" s="43"/>
      <c r="E258" s="43"/>
      <c r="F258" s="43"/>
      <c r="G258" s="43"/>
    </row>
    <row r="259" spans="1:7" x14ac:dyDescent="0.2">
      <c r="A259" s="44"/>
      <c r="B259" s="44"/>
      <c r="C259" s="44"/>
      <c r="D259" s="44"/>
      <c r="E259" s="44"/>
      <c r="F259" s="44"/>
      <c r="G259" s="44"/>
    </row>
    <row r="260" spans="1:7" x14ac:dyDescent="0.2">
      <c r="A260" s="43"/>
      <c r="B260" s="43"/>
      <c r="C260" s="43"/>
      <c r="D260" s="43"/>
      <c r="E260" s="43"/>
      <c r="F260" s="43"/>
      <c r="G260" s="43"/>
    </row>
    <row r="261" spans="1:7" x14ac:dyDescent="0.2">
      <c r="A261" s="44"/>
      <c r="B261" s="44"/>
      <c r="C261" s="44"/>
      <c r="D261" s="44"/>
      <c r="E261" s="44"/>
      <c r="F261" s="44"/>
      <c r="G261" s="44"/>
    </row>
    <row r="262" spans="1:7" x14ac:dyDescent="0.2">
      <c r="A262" s="43"/>
      <c r="B262" s="43"/>
      <c r="C262" s="43"/>
      <c r="D262" s="43"/>
      <c r="E262" s="43"/>
      <c r="F262" s="43"/>
      <c r="G262" s="43"/>
    </row>
    <row r="263" spans="1:7" x14ac:dyDescent="0.2">
      <c r="A263" s="44"/>
      <c r="B263" s="44"/>
      <c r="C263" s="44"/>
      <c r="D263" s="44"/>
      <c r="E263" s="44"/>
      <c r="F263" s="44"/>
      <c r="G263" s="44"/>
    </row>
    <row r="264" spans="1:7" x14ac:dyDescent="0.2">
      <c r="A264" s="43"/>
      <c r="B264" s="43"/>
      <c r="C264" s="43"/>
      <c r="D264" s="43"/>
      <c r="E264" s="43"/>
      <c r="F264" s="43"/>
      <c r="G264" s="43"/>
    </row>
    <row r="265" spans="1:7" x14ac:dyDescent="0.2">
      <c r="A265" s="44"/>
      <c r="B265" s="44"/>
      <c r="C265" s="44"/>
      <c r="D265" s="44"/>
      <c r="E265" s="44"/>
      <c r="F265" s="44"/>
      <c r="G265" s="44"/>
    </row>
    <row r="266" spans="1:7" x14ac:dyDescent="0.2">
      <c r="A266" s="43"/>
      <c r="B266" s="43"/>
      <c r="C266" s="43"/>
      <c r="D266" s="43"/>
      <c r="E266" s="43"/>
      <c r="F266" s="43"/>
      <c r="G266" s="43"/>
    </row>
    <row r="267" spans="1:7" x14ac:dyDescent="0.2">
      <c r="A267" s="44"/>
      <c r="B267" s="44"/>
      <c r="C267" s="44"/>
      <c r="D267" s="44"/>
      <c r="E267" s="44"/>
      <c r="F267" s="44"/>
      <c r="G267" s="44"/>
    </row>
    <row r="268" spans="1:7" x14ac:dyDescent="0.2">
      <c r="A268" s="43"/>
      <c r="B268" s="43"/>
      <c r="C268" s="43"/>
      <c r="D268" s="43"/>
      <c r="E268" s="43"/>
      <c r="F268" s="43"/>
      <c r="G268" s="43"/>
    </row>
    <row r="269" spans="1:7" x14ac:dyDescent="0.2">
      <c r="A269" s="44"/>
      <c r="B269" s="44"/>
      <c r="C269" s="44"/>
      <c r="D269" s="44"/>
      <c r="E269" s="44"/>
      <c r="F269" s="44"/>
      <c r="G269" s="44"/>
    </row>
    <row r="270" spans="1:7" x14ac:dyDescent="0.2">
      <c r="A270" s="43"/>
      <c r="B270" s="43"/>
      <c r="C270" s="43"/>
      <c r="D270" s="43"/>
      <c r="E270" s="43"/>
      <c r="F270" s="43"/>
      <c r="G270" s="43"/>
    </row>
    <row r="271" spans="1:7" x14ac:dyDescent="0.2">
      <c r="A271" s="44"/>
      <c r="B271" s="44"/>
      <c r="C271" s="44"/>
      <c r="D271" s="44"/>
      <c r="E271" s="44"/>
      <c r="F271" s="44"/>
      <c r="G271" s="44"/>
    </row>
    <row r="272" spans="1:7" x14ac:dyDescent="0.2">
      <c r="A272" s="43"/>
      <c r="B272" s="43"/>
      <c r="C272" s="43"/>
      <c r="D272" s="43"/>
      <c r="E272" s="43"/>
      <c r="F272" s="43"/>
      <c r="G272" s="43"/>
    </row>
    <row r="273" spans="1:7" x14ac:dyDescent="0.2">
      <c r="A273" s="44"/>
      <c r="B273" s="44"/>
      <c r="C273" s="44"/>
      <c r="D273" s="44"/>
      <c r="E273" s="44"/>
      <c r="F273" s="44"/>
      <c r="G273" s="44"/>
    </row>
    <row r="274" spans="1:7" x14ac:dyDescent="0.2">
      <c r="A274" s="43"/>
      <c r="B274" s="43"/>
      <c r="C274" s="43"/>
      <c r="D274" s="43"/>
      <c r="E274" s="43"/>
      <c r="F274" s="43"/>
      <c r="G274" s="43"/>
    </row>
    <row r="275" spans="1:7" x14ac:dyDescent="0.2">
      <c r="A275" s="44"/>
      <c r="B275" s="44"/>
      <c r="C275" s="44"/>
      <c r="D275" s="44"/>
      <c r="E275" s="44"/>
      <c r="F275" s="44"/>
      <c r="G275" s="44"/>
    </row>
    <row r="276" spans="1:7" x14ac:dyDescent="0.2">
      <c r="A276" s="43"/>
      <c r="B276" s="43"/>
      <c r="C276" s="43"/>
      <c r="D276" s="43"/>
      <c r="E276" s="43"/>
      <c r="F276" s="43"/>
      <c r="G276" s="43"/>
    </row>
    <row r="277" spans="1:7" x14ac:dyDescent="0.2">
      <c r="A277" s="44"/>
      <c r="B277" s="44"/>
      <c r="C277" s="44"/>
      <c r="D277" s="44"/>
      <c r="E277" s="44"/>
      <c r="F277" s="44"/>
      <c r="G277" s="44"/>
    </row>
    <row r="278" spans="1:7" x14ac:dyDescent="0.2">
      <c r="A278" s="43"/>
      <c r="B278" s="43"/>
      <c r="C278" s="43"/>
      <c r="D278" s="43"/>
      <c r="E278" s="43"/>
      <c r="F278" s="43"/>
      <c r="G278" s="43"/>
    </row>
    <row r="279" spans="1:7" x14ac:dyDescent="0.2">
      <c r="A279" s="44"/>
      <c r="B279" s="44"/>
      <c r="C279" s="44"/>
      <c r="D279" s="44"/>
      <c r="E279" s="44"/>
      <c r="F279" s="44"/>
      <c r="G279" s="44"/>
    </row>
    <row r="280" spans="1:7" x14ac:dyDescent="0.2">
      <c r="A280" s="43"/>
      <c r="B280" s="43"/>
      <c r="C280" s="43"/>
      <c r="D280" s="43"/>
      <c r="E280" s="43"/>
      <c r="F280" s="43"/>
      <c r="G280" s="43"/>
    </row>
    <row r="281" spans="1:7" x14ac:dyDescent="0.2">
      <c r="A281" s="44"/>
      <c r="B281" s="44"/>
      <c r="C281" s="44"/>
      <c r="D281" s="44"/>
      <c r="E281" s="44"/>
      <c r="F281" s="44"/>
      <c r="G281" s="44"/>
    </row>
    <row r="282" spans="1:7" x14ac:dyDescent="0.2">
      <c r="A282" s="43"/>
      <c r="B282" s="43"/>
      <c r="C282" s="43"/>
      <c r="D282" s="43"/>
      <c r="E282" s="43"/>
      <c r="F282" s="43"/>
      <c r="G282" s="43"/>
    </row>
    <row r="283" spans="1:7" x14ac:dyDescent="0.2">
      <c r="A283" s="44"/>
      <c r="B283" s="44"/>
      <c r="C283" s="44"/>
      <c r="D283" s="44"/>
      <c r="E283" s="44"/>
      <c r="F283" s="44"/>
      <c r="G283" s="44"/>
    </row>
    <row r="284" spans="1:7" x14ac:dyDescent="0.2">
      <c r="A284" s="43"/>
      <c r="B284" s="43"/>
      <c r="C284" s="43"/>
      <c r="D284" s="43"/>
      <c r="E284" s="43"/>
      <c r="F284" s="43"/>
      <c r="G284" s="43"/>
    </row>
    <row r="285" spans="1:7" x14ac:dyDescent="0.2">
      <c r="A285" s="44"/>
      <c r="B285" s="44"/>
      <c r="C285" s="44"/>
      <c r="D285" s="44"/>
      <c r="E285" s="44"/>
      <c r="F285" s="44"/>
      <c r="G285" s="44"/>
    </row>
    <row r="286" spans="1:7" x14ac:dyDescent="0.2">
      <c r="A286" s="43"/>
      <c r="B286" s="43"/>
      <c r="C286" s="43"/>
      <c r="D286" s="43"/>
      <c r="E286" s="43"/>
      <c r="F286" s="43"/>
      <c r="G286" s="43"/>
    </row>
    <row r="287" spans="1:7" x14ac:dyDescent="0.2">
      <c r="A287" s="44"/>
      <c r="B287" s="44"/>
      <c r="C287" s="44"/>
      <c r="D287" s="44"/>
      <c r="E287" s="44"/>
      <c r="F287" s="44"/>
      <c r="G287" s="44"/>
    </row>
    <row r="288" spans="1:7" x14ac:dyDescent="0.2">
      <c r="A288" s="43"/>
      <c r="B288" s="43"/>
      <c r="C288" s="43"/>
      <c r="D288" s="43"/>
      <c r="E288" s="43"/>
      <c r="F288" s="43"/>
      <c r="G288" s="43"/>
    </row>
    <row r="289" spans="1:7" x14ac:dyDescent="0.2">
      <c r="A289" s="44"/>
      <c r="B289" s="44"/>
      <c r="C289" s="44"/>
      <c r="D289" s="44"/>
      <c r="E289" s="44"/>
      <c r="F289" s="44"/>
      <c r="G289" s="44"/>
    </row>
    <row r="290" spans="1:7" x14ac:dyDescent="0.2">
      <c r="A290" s="43"/>
      <c r="B290" s="43"/>
      <c r="C290" s="43"/>
      <c r="D290" s="43"/>
      <c r="E290" s="43"/>
      <c r="F290" s="43"/>
      <c r="G290" s="43"/>
    </row>
    <row r="291" spans="1:7" x14ac:dyDescent="0.2">
      <c r="A291" s="44"/>
      <c r="B291" s="44"/>
      <c r="C291" s="44"/>
      <c r="D291" s="44"/>
      <c r="E291" s="44"/>
      <c r="F291" s="44"/>
      <c r="G291" s="44"/>
    </row>
    <row r="292" spans="1:7" x14ac:dyDescent="0.2">
      <c r="A292" s="43"/>
      <c r="B292" s="43"/>
      <c r="C292" s="43"/>
      <c r="D292" s="43"/>
      <c r="E292" s="43"/>
      <c r="F292" s="43"/>
      <c r="G292" s="43"/>
    </row>
    <row r="293" spans="1:7" x14ac:dyDescent="0.2">
      <c r="A293" s="44"/>
      <c r="B293" s="44"/>
      <c r="C293" s="44"/>
      <c r="D293" s="44"/>
      <c r="E293" s="44"/>
      <c r="F293" s="44"/>
      <c r="G293" s="44"/>
    </row>
    <row r="294" spans="1:7" x14ac:dyDescent="0.2">
      <c r="A294" s="43"/>
      <c r="B294" s="43"/>
      <c r="C294" s="43"/>
      <c r="D294" s="43"/>
      <c r="E294" s="43"/>
      <c r="F294" s="43"/>
      <c r="G294" s="43"/>
    </row>
    <row r="295" spans="1:7" x14ac:dyDescent="0.2">
      <c r="A295" s="44"/>
      <c r="B295" s="44"/>
      <c r="C295" s="44"/>
      <c r="D295" s="44"/>
      <c r="E295" s="44"/>
      <c r="F295" s="44"/>
      <c r="G295" s="44"/>
    </row>
    <row r="296" spans="1:7" x14ac:dyDescent="0.2">
      <c r="A296" s="43"/>
      <c r="B296" s="43"/>
      <c r="C296" s="43"/>
      <c r="D296" s="43"/>
      <c r="E296" s="43"/>
      <c r="F296" s="43"/>
      <c r="G296" s="43"/>
    </row>
    <row r="297" spans="1:7" x14ac:dyDescent="0.2">
      <c r="A297" s="44"/>
      <c r="B297" s="44"/>
      <c r="C297" s="44"/>
      <c r="D297" s="44"/>
      <c r="E297" s="44"/>
      <c r="F297" s="44"/>
      <c r="G297" s="44"/>
    </row>
    <row r="298" spans="1:7" x14ac:dyDescent="0.2">
      <c r="A298" s="43"/>
      <c r="B298" s="43"/>
      <c r="C298" s="43"/>
      <c r="D298" s="43"/>
      <c r="E298" s="43"/>
      <c r="F298" s="43"/>
      <c r="G298" s="43"/>
    </row>
    <row r="299" spans="1:7" x14ac:dyDescent="0.2">
      <c r="A299" s="44"/>
      <c r="B299" s="44"/>
      <c r="C299" s="44"/>
      <c r="D299" s="44"/>
      <c r="E299" s="44"/>
      <c r="F299" s="44"/>
      <c r="G299" s="44"/>
    </row>
    <row r="300" spans="1:7" x14ac:dyDescent="0.2">
      <c r="A300" s="43"/>
      <c r="B300" s="43"/>
      <c r="C300" s="43"/>
      <c r="D300" s="43"/>
      <c r="E300" s="43"/>
      <c r="F300" s="43"/>
      <c r="G300" s="43"/>
    </row>
    <row r="301" spans="1:7" x14ac:dyDescent="0.2">
      <c r="A301" s="44"/>
      <c r="B301" s="44"/>
      <c r="C301" s="44"/>
      <c r="D301" s="44"/>
      <c r="E301" s="44"/>
      <c r="F301" s="44"/>
      <c r="G301" s="44"/>
    </row>
    <row r="302" spans="1:7" x14ac:dyDescent="0.2">
      <c r="A302" s="43"/>
      <c r="B302" s="43"/>
      <c r="C302" s="43"/>
      <c r="D302" s="43"/>
      <c r="E302" s="43"/>
      <c r="F302" s="43"/>
      <c r="G302" s="43"/>
    </row>
    <row r="303" spans="1:7" x14ac:dyDescent="0.2">
      <c r="A303" s="44"/>
      <c r="B303" s="44"/>
      <c r="C303" s="44"/>
      <c r="D303" s="44"/>
      <c r="E303" s="44"/>
      <c r="F303" s="44"/>
      <c r="G303" s="44"/>
    </row>
    <row r="304" spans="1:7" x14ac:dyDescent="0.2">
      <c r="A304" s="43"/>
      <c r="B304" s="43"/>
      <c r="C304" s="43"/>
      <c r="D304" s="43"/>
      <c r="E304" s="43"/>
      <c r="F304" s="43"/>
      <c r="G304" s="43"/>
    </row>
    <row r="305" spans="1:7" x14ac:dyDescent="0.2">
      <c r="A305" s="44"/>
      <c r="B305" s="44"/>
      <c r="C305" s="44"/>
      <c r="D305" s="44"/>
      <c r="E305" s="44"/>
      <c r="F305" s="44"/>
      <c r="G305" s="44"/>
    </row>
    <row r="306" spans="1:7" x14ac:dyDescent="0.2">
      <c r="A306" s="43"/>
      <c r="B306" s="43"/>
      <c r="C306" s="43"/>
      <c r="D306" s="43"/>
      <c r="E306" s="43"/>
      <c r="F306" s="43"/>
      <c r="G306" s="43"/>
    </row>
    <row r="307" spans="1:7" x14ac:dyDescent="0.2">
      <c r="A307" s="44"/>
      <c r="B307" s="44"/>
      <c r="C307" s="44"/>
      <c r="D307" s="44"/>
      <c r="E307" s="44"/>
      <c r="F307" s="44"/>
      <c r="G307" s="44"/>
    </row>
    <row r="308" spans="1:7" x14ac:dyDescent="0.2">
      <c r="A308" s="43"/>
      <c r="B308" s="43"/>
      <c r="C308" s="43"/>
      <c r="D308" s="43"/>
      <c r="E308" s="43"/>
      <c r="F308" s="43"/>
      <c r="G308" s="43"/>
    </row>
    <row r="309" spans="1:7" x14ac:dyDescent="0.2">
      <c r="A309" s="44"/>
      <c r="B309" s="44"/>
      <c r="C309" s="44"/>
      <c r="D309" s="44"/>
      <c r="E309" s="44"/>
      <c r="F309" s="44"/>
      <c r="G309" s="44"/>
    </row>
    <row r="310" spans="1:7" x14ac:dyDescent="0.2">
      <c r="A310" s="43"/>
      <c r="B310" s="43"/>
      <c r="C310" s="43"/>
      <c r="D310" s="43"/>
      <c r="E310" s="43"/>
      <c r="F310" s="43"/>
      <c r="G310" s="43"/>
    </row>
    <row r="311" spans="1:7" x14ac:dyDescent="0.2">
      <c r="A311" s="44"/>
      <c r="B311" s="44"/>
      <c r="C311" s="44"/>
      <c r="D311" s="44"/>
      <c r="E311" s="44"/>
      <c r="F311" s="44"/>
      <c r="G311" s="44"/>
    </row>
    <row r="312" spans="1:7" x14ac:dyDescent="0.2">
      <c r="A312" s="43"/>
      <c r="B312" s="43"/>
      <c r="C312" s="43"/>
      <c r="D312" s="43"/>
      <c r="E312" s="43"/>
      <c r="F312" s="43"/>
      <c r="G312" s="43"/>
    </row>
    <row r="313" spans="1:7" x14ac:dyDescent="0.2">
      <c r="A313" s="44"/>
      <c r="B313" s="44"/>
      <c r="C313" s="44"/>
      <c r="D313" s="44"/>
      <c r="E313" s="44"/>
      <c r="F313" s="44"/>
      <c r="G313" s="44"/>
    </row>
    <row r="314" spans="1:7" x14ac:dyDescent="0.2">
      <c r="A314" s="43"/>
      <c r="B314" s="43"/>
      <c r="C314" s="43"/>
      <c r="D314" s="43"/>
      <c r="E314" s="43"/>
      <c r="F314" s="43"/>
      <c r="G314" s="43"/>
    </row>
    <row r="315" spans="1:7" x14ac:dyDescent="0.2">
      <c r="A315" s="44"/>
      <c r="B315" s="44"/>
      <c r="C315" s="44"/>
      <c r="D315" s="44"/>
      <c r="E315" s="44"/>
      <c r="F315" s="44"/>
      <c r="G315" s="44"/>
    </row>
    <row r="316" spans="1:7" x14ac:dyDescent="0.2">
      <c r="A316" s="43"/>
      <c r="B316" s="43"/>
      <c r="C316" s="43"/>
      <c r="D316" s="43"/>
      <c r="E316" s="43"/>
      <c r="F316" s="43"/>
      <c r="G316" s="43"/>
    </row>
    <row r="317" spans="1:7" x14ac:dyDescent="0.2">
      <c r="A317" s="44"/>
      <c r="B317" s="44"/>
      <c r="C317" s="44"/>
      <c r="D317" s="44"/>
      <c r="E317" s="44"/>
      <c r="F317" s="44"/>
      <c r="G317" s="44"/>
    </row>
    <row r="318" spans="1:7" x14ac:dyDescent="0.2">
      <c r="A318" s="43"/>
      <c r="B318" s="43"/>
      <c r="C318" s="43"/>
      <c r="D318" s="43"/>
      <c r="E318" s="43"/>
      <c r="F318" s="43"/>
      <c r="G318" s="43"/>
    </row>
    <row r="319" spans="1:7" x14ac:dyDescent="0.2">
      <c r="A319" s="44"/>
      <c r="B319" s="44"/>
      <c r="C319" s="44"/>
      <c r="D319" s="44"/>
      <c r="E319" s="44"/>
      <c r="F319" s="44"/>
      <c r="G319" s="44"/>
    </row>
    <row r="320" spans="1:7" x14ac:dyDescent="0.2">
      <c r="A320" s="43"/>
      <c r="B320" s="43"/>
      <c r="C320" s="43"/>
      <c r="D320" s="43"/>
      <c r="E320" s="43"/>
      <c r="F320" s="43"/>
      <c r="G320" s="43"/>
    </row>
    <row r="321" spans="1:7" x14ac:dyDescent="0.2">
      <c r="A321" s="44"/>
      <c r="B321" s="44"/>
      <c r="C321" s="44"/>
      <c r="D321" s="44"/>
      <c r="E321" s="44"/>
      <c r="F321" s="44"/>
      <c r="G321" s="44"/>
    </row>
    <row r="322" spans="1:7" x14ac:dyDescent="0.2">
      <c r="A322" s="43"/>
      <c r="B322" s="43"/>
      <c r="C322" s="43"/>
      <c r="D322" s="43"/>
      <c r="E322" s="43"/>
      <c r="F322" s="43"/>
      <c r="G322" s="43"/>
    </row>
    <row r="323" spans="1:7" x14ac:dyDescent="0.2">
      <c r="A323" s="44"/>
      <c r="B323" s="44"/>
      <c r="C323" s="44"/>
      <c r="D323" s="44"/>
      <c r="E323" s="44"/>
      <c r="F323" s="44"/>
      <c r="G323" s="44"/>
    </row>
    <row r="324" spans="1:7" x14ac:dyDescent="0.2">
      <c r="A324" s="43"/>
      <c r="B324" s="43"/>
      <c r="C324" s="43"/>
      <c r="D324" s="43"/>
      <c r="E324" s="43"/>
      <c r="F324" s="43"/>
      <c r="G324" s="43"/>
    </row>
    <row r="325" spans="1:7" x14ac:dyDescent="0.2">
      <c r="A325" s="44"/>
      <c r="B325" s="44"/>
      <c r="C325" s="44"/>
      <c r="D325" s="44"/>
      <c r="E325" s="44"/>
      <c r="F325" s="44"/>
      <c r="G325" s="44"/>
    </row>
    <row r="326" spans="1:7" x14ac:dyDescent="0.2">
      <c r="A326" s="43"/>
      <c r="B326" s="43"/>
      <c r="C326" s="43"/>
      <c r="D326" s="43"/>
      <c r="E326" s="43"/>
      <c r="F326" s="43"/>
      <c r="G326" s="43"/>
    </row>
    <row r="327" spans="1:7" x14ac:dyDescent="0.2">
      <c r="A327" s="44"/>
      <c r="B327" s="44"/>
      <c r="C327" s="44"/>
      <c r="D327" s="44"/>
      <c r="E327" s="44"/>
      <c r="F327" s="44"/>
      <c r="G327" s="44"/>
    </row>
    <row r="328" spans="1:7" x14ac:dyDescent="0.2">
      <c r="A328" s="43"/>
      <c r="B328" s="43"/>
      <c r="C328" s="43"/>
      <c r="D328" s="43"/>
      <c r="E328" s="43"/>
      <c r="F328" s="43"/>
      <c r="G328" s="43"/>
    </row>
    <row r="329" spans="1:7" x14ac:dyDescent="0.2">
      <c r="A329" s="44"/>
      <c r="B329" s="44"/>
      <c r="C329" s="44"/>
      <c r="D329" s="44"/>
      <c r="E329" s="44"/>
      <c r="F329" s="44"/>
      <c r="G329" s="44"/>
    </row>
    <row r="330" spans="1:7" x14ac:dyDescent="0.2">
      <c r="A330" s="43"/>
      <c r="B330" s="43"/>
      <c r="C330" s="43"/>
      <c r="D330" s="43"/>
      <c r="E330" s="43"/>
      <c r="F330" s="43"/>
      <c r="G330" s="43"/>
    </row>
    <row r="331" spans="1:7" x14ac:dyDescent="0.2">
      <c r="A331" s="44"/>
      <c r="B331" s="44"/>
      <c r="C331" s="44"/>
      <c r="D331" s="44"/>
      <c r="E331" s="44"/>
      <c r="F331" s="44"/>
      <c r="G331" s="44"/>
    </row>
    <row r="332" spans="1:7" x14ac:dyDescent="0.2">
      <c r="A332" s="43"/>
      <c r="B332" s="43"/>
      <c r="C332" s="43"/>
      <c r="D332" s="43"/>
      <c r="E332" s="43"/>
      <c r="F332" s="43"/>
      <c r="G332" s="43"/>
    </row>
    <row r="333" spans="1:7" x14ac:dyDescent="0.2">
      <c r="A333" s="44"/>
      <c r="B333" s="44"/>
      <c r="C333" s="44"/>
      <c r="D333" s="44"/>
      <c r="E333" s="44"/>
      <c r="F333" s="44"/>
      <c r="G333" s="44"/>
    </row>
    <row r="334" spans="1:7" x14ac:dyDescent="0.2">
      <c r="A334" s="43"/>
      <c r="B334" s="43"/>
      <c r="C334" s="43"/>
      <c r="D334" s="43"/>
      <c r="E334" s="43"/>
      <c r="F334" s="43"/>
      <c r="G334" s="43"/>
    </row>
    <row r="335" spans="1:7" x14ac:dyDescent="0.2">
      <c r="A335" s="44"/>
      <c r="B335" s="44"/>
      <c r="C335" s="44"/>
      <c r="D335" s="44"/>
      <c r="E335" s="44"/>
      <c r="F335" s="44"/>
      <c r="G335" s="44"/>
    </row>
    <row r="336" spans="1:7" x14ac:dyDescent="0.2">
      <c r="A336" s="43"/>
      <c r="B336" s="43"/>
      <c r="C336" s="43"/>
      <c r="D336" s="43"/>
      <c r="E336" s="43"/>
      <c r="F336" s="43"/>
      <c r="G336" s="43"/>
    </row>
    <row r="337" spans="1:7" x14ac:dyDescent="0.2">
      <c r="A337" s="44"/>
      <c r="B337" s="44"/>
      <c r="C337" s="44"/>
      <c r="D337" s="44"/>
      <c r="E337" s="44"/>
      <c r="F337" s="44"/>
      <c r="G337" s="44"/>
    </row>
    <row r="338" spans="1:7" x14ac:dyDescent="0.2">
      <c r="A338" s="43"/>
      <c r="B338" s="43"/>
      <c r="C338" s="43"/>
      <c r="D338" s="43"/>
      <c r="E338" s="43"/>
      <c r="F338" s="43"/>
      <c r="G338" s="43"/>
    </row>
    <row r="339" spans="1:7" x14ac:dyDescent="0.2">
      <c r="A339" s="44"/>
      <c r="B339" s="44"/>
      <c r="C339" s="44"/>
      <c r="D339" s="44"/>
      <c r="E339" s="44"/>
      <c r="F339" s="44"/>
      <c r="G339" s="44"/>
    </row>
    <row r="340" spans="1:7" x14ac:dyDescent="0.2">
      <c r="A340" s="43"/>
      <c r="B340" s="43"/>
      <c r="C340" s="43"/>
      <c r="D340" s="43"/>
      <c r="E340" s="43"/>
      <c r="F340" s="43"/>
      <c r="G340" s="43"/>
    </row>
    <row r="341" spans="1:7" x14ac:dyDescent="0.2">
      <c r="A341" s="44"/>
      <c r="B341" s="44"/>
      <c r="C341" s="44"/>
      <c r="D341" s="44"/>
      <c r="E341" s="44"/>
      <c r="F341" s="44"/>
      <c r="G341" s="44"/>
    </row>
    <row r="342" spans="1:7" x14ac:dyDescent="0.2">
      <c r="A342" s="43"/>
      <c r="B342" s="43"/>
      <c r="C342" s="43"/>
      <c r="D342" s="43"/>
      <c r="E342" s="43"/>
      <c r="F342" s="43"/>
      <c r="G342" s="43"/>
    </row>
    <row r="343" spans="1:7" x14ac:dyDescent="0.2">
      <c r="A343" s="44"/>
      <c r="B343" s="44"/>
      <c r="C343" s="44"/>
      <c r="D343" s="44"/>
      <c r="E343" s="44"/>
      <c r="F343" s="44"/>
      <c r="G343" s="44"/>
    </row>
    <row r="344" spans="1:7" x14ac:dyDescent="0.2">
      <c r="A344" s="43"/>
      <c r="B344" s="43"/>
      <c r="C344" s="43"/>
      <c r="D344" s="43"/>
      <c r="E344" s="43"/>
      <c r="F344" s="43"/>
      <c r="G344" s="43"/>
    </row>
    <row r="345" spans="1:7" x14ac:dyDescent="0.2">
      <c r="A345" s="44"/>
      <c r="B345" s="44"/>
      <c r="C345" s="44"/>
      <c r="D345" s="44"/>
      <c r="E345" s="44"/>
      <c r="F345" s="44"/>
      <c r="G345" s="44"/>
    </row>
    <row r="346" spans="1:7" x14ac:dyDescent="0.2">
      <c r="A346" s="43"/>
      <c r="B346" s="43"/>
      <c r="C346" s="43"/>
      <c r="D346" s="43"/>
      <c r="E346" s="43"/>
      <c r="F346" s="43"/>
      <c r="G346" s="43"/>
    </row>
    <row r="347" spans="1:7" x14ac:dyDescent="0.2">
      <c r="A347" s="44"/>
      <c r="B347" s="44"/>
      <c r="C347" s="44"/>
      <c r="D347" s="44"/>
      <c r="E347" s="44"/>
      <c r="F347" s="44"/>
      <c r="G347" s="44"/>
    </row>
    <row r="348" spans="1:7" x14ac:dyDescent="0.2">
      <c r="A348" s="43"/>
      <c r="B348" s="43"/>
      <c r="C348" s="43"/>
      <c r="D348" s="43"/>
      <c r="E348" s="43"/>
      <c r="F348" s="43"/>
      <c r="G348" s="43"/>
    </row>
    <row r="349" spans="1:7" x14ac:dyDescent="0.2">
      <c r="A349" s="44"/>
      <c r="B349" s="44"/>
      <c r="C349" s="44"/>
      <c r="D349" s="44"/>
      <c r="E349" s="44"/>
      <c r="F349" s="44"/>
      <c r="G349" s="44"/>
    </row>
    <row r="350" spans="1:7" x14ac:dyDescent="0.2">
      <c r="A350" s="43"/>
      <c r="B350" s="43"/>
      <c r="C350" s="43"/>
      <c r="D350" s="43"/>
      <c r="E350" s="43"/>
      <c r="F350" s="43"/>
      <c r="G350" s="43"/>
    </row>
    <row r="351" spans="1:7" x14ac:dyDescent="0.2">
      <c r="A351" s="44"/>
      <c r="B351" s="44"/>
      <c r="C351" s="44"/>
      <c r="D351" s="44"/>
      <c r="E351" s="44"/>
      <c r="F351" s="44"/>
      <c r="G351" s="44"/>
    </row>
    <row r="352" spans="1:7" x14ac:dyDescent="0.2">
      <c r="A352" s="43"/>
      <c r="B352" s="43"/>
      <c r="C352" s="43"/>
      <c r="D352" s="43"/>
      <c r="E352" s="43"/>
      <c r="F352" s="43"/>
      <c r="G352" s="43"/>
    </row>
    <row r="353" spans="1:7" x14ac:dyDescent="0.2">
      <c r="A353" s="44"/>
      <c r="B353" s="44"/>
      <c r="C353" s="44"/>
      <c r="D353" s="44"/>
      <c r="E353" s="44"/>
      <c r="F353" s="44"/>
      <c r="G353" s="44"/>
    </row>
    <row r="354" spans="1:7" x14ac:dyDescent="0.2">
      <c r="A354" s="43"/>
      <c r="B354" s="43"/>
      <c r="C354" s="43"/>
      <c r="D354" s="43"/>
      <c r="E354" s="43"/>
      <c r="F354" s="43"/>
      <c r="G354" s="43"/>
    </row>
    <row r="355" spans="1:7" x14ac:dyDescent="0.2">
      <c r="A355" s="44"/>
      <c r="B355" s="44"/>
      <c r="C355" s="44"/>
      <c r="D355" s="44"/>
      <c r="E355" s="44"/>
      <c r="F355" s="44"/>
      <c r="G355" s="44"/>
    </row>
    <row r="356" spans="1:7" x14ac:dyDescent="0.2">
      <c r="A356" s="43"/>
      <c r="B356" s="43"/>
      <c r="C356" s="43"/>
      <c r="D356" s="43"/>
      <c r="E356" s="43"/>
      <c r="F356" s="43"/>
      <c r="G356" s="43"/>
    </row>
    <row r="357" spans="1:7" x14ac:dyDescent="0.2">
      <c r="A357" s="44"/>
      <c r="B357" s="44"/>
      <c r="C357" s="44"/>
      <c r="D357" s="44"/>
      <c r="E357" s="44"/>
      <c r="F357" s="44"/>
      <c r="G357" s="44"/>
    </row>
    <row r="358" spans="1:7" x14ac:dyDescent="0.2">
      <c r="A358" s="43"/>
      <c r="B358" s="43"/>
      <c r="C358" s="43"/>
      <c r="D358" s="43"/>
      <c r="E358" s="43"/>
      <c r="F358" s="43"/>
      <c r="G358" s="43"/>
    </row>
    <row r="359" spans="1:7" x14ac:dyDescent="0.2">
      <c r="A359" s="44"/>
      <c r="B359" s="44"/>
      <c r="C359" s="44"/>
      <c r="D359" s="44"/>
      <c r="E359" s="44"/>
      <c r="F359" s="44"/>
      <c r="G359" s="44"/>
    </row>
    <row r="360" spans="1:7" x14ac:dyDescent="0.2">
      <c r="A360" s="43"/>
      <c r="B360" s="43"/>
      <c r="C360" s="43"/>
      <c r="D360" s="43"/>
      <c r="E360" s="43"/>
      <c r="F360" s="43"/>
      <c r="G360" s="43"/>
    </row>
    <row r="361" spans="1:7" x14ac:dyDescent="0.2">
      <c r="A361" s="44"/>
      <c r="B361" s="44"/>
      <c r="C361" s="44"/>
      <c r="D361" s="44"/>
      <c r="E361" s="44"/>
      <c r="F361" s="44"/>
      <c r="G361" s="44"/>
    </row>
    <row r="362" spans="1:7" x14ac:dyDescent="0.2">
      <c r="A362" s="43"/>
      <c r="B362" s="43"/>
      <c r="C362" s="43"/>
      <c r="D362" s="43"/>
      <c r="E362" s="43"/>
      <c r="F362" s="43"/>
      <c r="G362" s="43"/>
    </row>
    <row r="363" spans="1:7" x14ac:dyDescent="0.2">
      <c r="A363" s="44"/>
      <c r="B363" s="44"/>
      <c r="C363" s="44"/>
      <c r="D363" s="44"/>
      <c r="E363" s="44"/>
      <c r="F363" s="44"/>
      <c r="G363" s="44"/>
    </row>
    <row r="364" spans="1:7" x14ac:dyDescent="0.2">
      <c r="A364" s="43"/>
      <c r="B364" s="43"/>
      <c r="C364" s="43"/>
      <c r="D364" s="43"/>
      <c r="E364" s="43"/>
      <c r="F364" s="43"/>
      <c r="G364" s="43"/>
    </row>
    <row r="365" spans="1:7" x14ac:dyDescent="0.2">
      <c r="A365" s="44"/>
      <c r="B365" s="44"/>
      <c r="C365" s="44"/>
      <c r="D365" s="44"/>
      <c r="E365" s="44"/>
      <c r="F365" s="44"/>
      <c r="G365" s="44"/>
    </row>
    <row r="366" spans="1:7" x14ac:dyDescent="0.2">
      <c r="A366" s="43"/>
      <c r="B366" s="43"/>
      <c r="C366" s="43"/>
      <c r="D366" s="43"/>
      <c r="E366" s="43"/>
      <c r="F366" s="43"/>
      <c r="G366" s="43"/>
    </row>
    <row r="367" spans="1:7" x14ac:dyDescent="0.2">
      <c r="A367" s="44"/>
      <c r="B367" s="44"/>
      <c r="C367" s="44"/>
      <c r="D367" s="44"/>
      <c r="E367" s="44"/>
      <c r="F367" s="44"/>
      <c r="G367" s="44"/>
    </row>
    <row r="368" spans="1:7" x14ac:dyDescent="0.2">
      <c r="A368" s="43"/>
      <c r="B368" s="43"/>
      <c r="C368" s="43"/>
      <c r="D368" s="43"/>
      <c r="E368" s="43"/>
      <c r="F368" s="43"/>
      <c r="G368" s="43"/>
    </row>
    <row r="369" spans="1:7" x14ac:dyDescent="0.2">
      <c r="A369" s="44"/>
      <c r="B369" s="44"/>
      <c r="C369" s="44"/>
      <c r="D369" s="44"/>
      <c r="E369" s="44"/>
      <c r="F369" s="44"/>
      <c r="G369" s="44"/>
    </row>
    <row r="370" spans="1:7" x14ac:dyDescent="0.2">
      <c r="A370" s="43"/>
      <c r="B370" s="43"/>
      <c r="C370" s="43"/>
      <c r="D370" s="43"/>
      <c r="E370" s="43"/>
      <c r="F370" s="43"/>
      <c r="G370" s="43"/>
    </row>
    <row r="371" spans="1:7" x14ac:dyDescent="0.2">
      <c r="A371" s="44"/>
      <c r="B371" s="44"/>
      <c r="C371" s="44"/>
      <c r="D371" s="44"/>
      <c r="E371" s="44"/>
      <c r="F371" s="44"/>
      <c r="G371" s="44"/>
    </row>
    <row r="372" spans="1:7" x14ac:dyDescent="0.2">
      <c r="A372" s="43"/>
      <c r="B372" s="43"/>
      <c r="C372" s="43"/>
      <c r="D372" s="43"/>
      <c r="E372" s="43"/>
      <c r="F372" s="43"/>
      <c r="G372" s="43"/>
    </row>
    <row r="373" spans="1:7" x14ac:dyDescent="0.2">
      <c r="A373" s="44"/>
      <c r="B373" s="44"/>
      <c r="C373" s="44"/>
      <c r="D373" s="44"/>
      <c r="E373" s="44"/>
      <c r="F373" s="44"/>
      <c r="G373" s="44"/>
    </row>
    <row r="374" spans="1:7" x14ac:dyDescent="0.2">
      <c r="A374" s="43"/>
      <c r="B374" s="43"/>
      <c r="C374" s="43"/>
      <c r="D374" s="43"/>
      <c r="E374" s="43"/>
      <c r="F374" s="43"/>
      <c r="G374" s="43"/>
    </row>
    <row r="375" spans="1:7" x14ac:dyDescent="0.2">
      <c r="A375" s="44"/>
      <c r="B375" s="44"/>
      <c r="C375" s="44"/>
      <c r="D375" s="44"/>
      <c r="E375" s="44"/>
      <c r="F375" s="44"/>
      <c r="G375" s="44"/>
    </row>
    <row r="376" spans="1:7" x14ac:dyDescent="0.2">
      <c r="A376" s="43"/>
      <c r="B376" s="43"/>
      <c r="C376" s="43"/>
      <c r="D376" s="43"/>
      <c r="E376" s="43"/>
      <c r="F376" s="43"/>
      <c r="G376" s="43"/>
    </row>
    <row r="377" spans="1:7" x14ac:dyDescent="0.2">
      <c r="A377" s="44"/>
      <c r="B377" s="44"/>
      <c r="C377" s="44"/>
      <c r="D377" s="44"/>
      <c r="E377" s="44"/>
      <c r="F377" s="44"/>
      <c r="G377" s="44"/>
    </row>
    <row r="378" spans="1:7" x14ac:dyDescent="0.2">
      <c r="A378" s="43"/>
      <c r="B378" s="43"/>
      <c r="C378" s="43"/>
      <c r="D378" s="43"/>
      <c r="E378" s="43"/>
      <c r="F378" s="43"/>
      <c r="G378" s="43"/>
    </row>
    <row r="379" spans="1:7" x14ac:dyDescent="0.2">
      <c r="A379" s="44"/>
      <c r="B379" s="44"/>
      <c r="C379" s="44"/>
      <c r="D379" s="44"/>
      <c r="E379" s="44"/>
      <c r="F379" s="44"/>
      <c r="G379" s="44"/>
    </row>
    <row r="380" spans="1:7" x14ac:dyDescent="0.2">
      <c r="A380" s="43"/>
      <c r="B380" s="43"/>
      <c r="C380" s="43"/>
      <c r="D380" s="43"/>
      <c r="E380" s="43"/>
      <c r="F380" s="43"/>
      <c r="G380" s="43"/>
    </row>
    <row r="381" spans="1:7" x14ac:dyDescent="0.2">
      <c r="A381" s="44"/>
      <c r="B381" s="44"/>
      <c r="C381" s="44"/>
      <c r="D381" s="44"/>
      <c r="E381" s="44"/>
      <c r="F381" s="44"/>
      <c r="G381" s="44"/>
    </row>
    <row r="382" spans="1:7" x14ac:dyDescent="0.2">
      <c r="A382" s="43"/>
      <c r="B382" s="43"/>
      <c r="C382" s="43"/>
      <c r="D382" s="43"/>
      <c r="E382" s="43"/>
      <c r="F382" s="43"/>
      <c r="G382" s="43"/>
    </row>
    <row r="383" spans="1:7" x14ac:dyDescent="0.2">
      <c r="A383" s="44"/>
      <c r="B383" s="44"/>
      <c r="C383" s="44"/>
      <c r="D383" s="44"/>
      <c r="E383" s="44"/>
      <c r="F383" s="44"/>
      <c r="G383" s="44"/>
    </row>
    <row r="384" spans="1:7" x14ac:dyDescent="0.2">
      <c r="A384" s="43"/>
      <c r="B384" s="43"/>
      <c r="C384" s="43"/>
      <c r="D384" s="43"/>
      <c r="E384" s="43"/>
      <c r="F384" s="43"/>
      <c r="G384" s="43"/>
    </row>
    <row r="385" spans="1:7" x14ac:dyDescent="0.2">
      <c r="A385" s="44"/>
      <c r="B385" s="44"/>
      <c r="C385" s="44"/>
      <c r="D385" s="44"/>
      <c r="E385" s="44"/>
      <c r="F385" s="44"/>
      <c r="G385" s="44"/>
    </row>
    <row r="386" spans="1:7" x14ac:dyDescent="0.2">
      <c r="A386" s="43"/>
      <c r="B386" s="43"/>
      <c r="C386" s="43"/>
      <c r="D386" s="43"/>
      <c r="E386" s="43"/>
      <c r="F386" s="43"/>
      <c r="G386" s="43"/>
    </row>
    <row r="387" spans="1:7" x14ac:dyDescent="0.2">
      <c r="A387" s="44"/>
      <c r="B387" s="44"/>
      <c r="C387" s="44"/>
      <c r="D387" s="44"/>
      <c r="E387" s="44"/>
      <c r="F387" s="44"/>
      <c r="G387" s="44"/>
    </row>
    <row r="388" spans="1:7" x14ac:dyDescent="0.2">
      <c r="A388" s="43"/>
      <c r="B388" s="43"/>
      <c r="C388" s="43"/>
      <c r="D388" s="43"/>
      <c r="E388" s="43"/>
      <c r="F388" s="43"/>
      <c r="G388" s="43"/>
    </row>
    <row r="389" spans="1:7" x14ac:dyDescent="0.2">
      <c r="A389" s="44"/>
      <c r="B389" s="44"/>
      <c r="C389" s="44"/>
      <c r="D389" s="44"/>
      <c r="E389" s="44"/>
      <c r="F389" s="44"/>
      <c r="G389" s="44"/>
    </row>
    <row r="390" spans="1:7" x14ac:dyDescent="0.2">
      <c r="A390" s="43"/>
      <c r="B390" s="43"/>
      <c r="C390" s="43"/>
      <c r="D390" s="43"/>
      <c r="E390" s="43"/>
      <c r="F390" s="43"/>
      <c r="G390" s="43"/>
    </row>
    <row r="391" spans="1:7" x14ac:dyDescent="0.2">
      <c r="A391" s="44"/>
      <c r="B391" s="44"/>
      <c r="C391" s="44"/>
      <c r="D391" s="44"/>
      <c r="E391" s="44"/>
      <c r="F391" s="44"/>
      <c r="G391" s="44"/>
    </row>
    <row r="392" spans="1:7" x14ac:dyDescent="0.2">
      <c r="A392" s="43"/>
      <c r="B392" s="43"/>
      <c r="C392" s="43"/>
      <c r="D392" s="43"/>
      <c r="E392" s="43"/>
      <c r="F392" s="43"/>
      <c r="G392" s="43"/>
    </row>
    <row r="393" spans="1:7" x14ac:dyDescent="0.2">
      <c r="A393" s="44"/>
      <c r="B393" s="44"/>
      <c r="C393" s="44"/>
      <c r="D393" s="44"/>
      <c r="E393" s="44"/>
      <c r="F393" s="44"/>
      <c r="G393" s="44"/>
    </row>
    <row r="394" spans="1:7" x14ac:dyDescent="0.2">
      <c r="A394" s="43"/>
      <c r="B394" s="43"/>
      <c r="C394" s="43"/>
      <c r="D394" s="43"/>
      <c r="E394" s="43"/>
      <c r="F394" s="43"/>
      <c r="G394" s="43"/>
    </row>
    <row r="395" spans="1:7" x14ac:dyDescent="0.2">
      <c r="A395" s="44"/>
      <c r="B395" s="44"/>
      <c r="C395" s="44"/>
      <c r="D395" s="44"/>
      <c r="E395" s="44"/>
      <c r="F395" s="44"/>
      <c r="G395" s="44"/>
    </row>
    <row r="396" spans="1:7" x14ac:dyDescent="0.2">
      <c r="A396" s="43"/>
      <c r="B396" s="43"/>
      <c r="C396" s="43"/>
      <c r="D396" s="43"/>
      <c r="E396" s="43"/>
      <c r="F396" s="43"/>
      <c r="G396" s="43"/>
    </row>
    <row r="397" spans="1:7" x14ac:dyDescent="0.2">
      <c r="A397" s="44"/>
      <c r="B397" s="44"/>
      <c r="C397" s="44"/>
      <c r="D397" s="44"/>
      <c r="E397" s="44"/>
      <c r="F397" s="44"/>
      <c r="G397" s="44"/>
    </row>
    <row r="398" spans="1:7" x14ac:dyDescent="0.2">
      <c r="A398" s="43"/>
      <c r="B398" s="43"/>
      <c r="C398" s="43"/>
      <c r="D398" s="43"/>
      <c r="E398" s="43"/>
      <c r="F398" s="43"/>
      <c r="G398" s="43"/>
    </row>
    <row r="399" spans="1:7" x14ac:dyDescent="0.2">
      <c r="A399" s="44"/>
      <c r="B399" s="44"/>
      <c r="C399" s="44"/>
      <c r="D399" s="44"/>
      <c r="E399" s="44"/>
      <c r="F399" s="44"/>
      <c r="G399" s="44"/>
    </row>
    <row r="400" spans="1:7" x14ac:dyDescent="0.2">
      <c r="A400" s="43"/>
      <c r="B400" s="43"/>
      <c r="C400" s="43"/>
      <c r="D400" s="43"/>
      <c r="E400" s="43"/>
      <c r="F400" s="43"/>
      <c r="G400" s="43"/>
    </row>
    <row r="401" spans="1:7" x14ac:dyDescent="0.2">
      <c r="A401" s="44"/>
      <c r="B401" s="44"/>
      <c r="C401" s="44"/>
      <c r="D401" s="44"/>
      <c r="E401" s="44"/>
      <c r="F401" s="44"/>
      <c r="G401" s="44"/>
    </row>
    <row r="402" spans="1:7" x14ac:dyDescent="0.2">
      <c r="A402" s="43"/>
      <c r="B402" s="43"/>
      <c r="C402" s="43"/>
      <c r="D402" s="43"/>
      <c r="E402" s="43"/>
      <c r="F402" s="43"/>
      <c r="G402" s="43"/>
    </row>
    <row r="403" spans="1:7" x14ac:dyDescent="0.2">
      <c r="A403" s="44"/>
      <c r="B403" s="44"/>
      <c r="C403" s="44"/>
      <c r="D403" s="44"/>
      <c r="E403" s="44"/>
      <c r="F403" s="44"/>
      <c r="G403" s="44"/>
    </row>
    <row r="404" spans="1:7" x14ac:dyDescent="0.2">
      <c r="A404" s="43"/>
      <c r="B404" s="43"/>
      <c r="C404" s="43"/>
      <c r="D404" s="43"/>
      <c r="E404" s="43"/>
      <c r="F404" s="43"/>
      <c r="G404" s="43"/>
    </row>
    <row r="405" spans="1:7" x14ac:dyDescent="0.2">
      <c r="A405" s="44"/>
      <c r="B405" s="44"/>
      <c r="C405" s="44"/>
      <c r="D405" s="44"/>
      <c r="E405" s="44"/>
      <c r="F405" s="44"/>
      <c r="G405" s="44"/>
    </row>
    <row r="406" spans="1:7" x14ac:dyDescent="0.2">
      <c r="A406" s="43"/>
      <c r="B406" s="43"/>
      <c r="C406" s="43"/>
      <c r="D406" s="43"/>
      <c r="E406" s="43"/>
      <c r="F406" s="43"/>
      <c r="G406" s="43"/>
    </row>
    <row r="407" spans="1:7" x14ac:dyDescent="0.2">
      <c r="A407" s="44"/>
      <c r="B407" s="44"/>
      <c r="C407" s="44"/>
      <c r="D407" s="44"/>
      <c r="E407" s="44"/>
      <c r="F407" s="44"/>
      <c r="G407" s="44"/>
    </row>
    <row r="408" spans="1:7" x14ac:dyDescent="0.2">
      <c r="A408" s="43"/>
      <c r="B408" s="43"/>
      <c r="C408" s="43"/>
      <c r="D408" s="43"/>
      <c r="E408" s="43"/>
      <c r="F408" s="43"/>
      <c r="G408" s="43"/>
    </row>
    <row r="409" spans="1:7" x14ac:dyDescent="0.2">
      <c r="A409" s="44"/>
      <c r="B409" s="44"/>
      <c r="C409" s="44"/>
      <c r="D409" s="44"/>
      <c r="E409" s="44"/>
      <c r="F409" s="44"/>
      <c r="G409" s="44"/>
    </row>
    <row r="410" spans="1:7" x14ac:dyDescent="0.2">
      <c r="A410" s="43"/>
      <c r="B410" s="43"/>
      <c r="C410" s="43"/>
      <c r="D410" s="43"/>
      <c r="E410" s="43"/>
      <c r="F410" s="43"/>
      <c r="G410" s="43"/>
    </row>
    <row r="411" spans="1:7" x14ac:dyDescent="0.2">
      <c r="A411" s="44"/>
      <c r="B411" s="44"/>
      <c r="C411" s="44"/>
      <c r="D411" s="44"/>
      <c r="E411" s="44"/>
      <c r="F411" s="44"/>
      <c r="G411" s="44"/>
    </row>
    <row r="412" spans="1:7" x14ac:dyDescent="0.2">
      <c r="A412" s="43"/>
      <c r="B412" s="43"/>
      <c r="C412" s="43"/>
      <c r="D412" s="43"/>
      <c r="E412" s="43"/>
      <c r="F412" s="43"/>
      <c r="G412" s="43"/>
    </row>
    <row r="413" spans="1:7" x14ac:dyDescent="0.2">
      <c r="A413" s="44"/>
      <c r="B413" s="44"/>
      <c r="C413" s="44"/>
      <c r="D413" s="44"/>
      <c r="E413" s="44"/>
      <c r="F413" s="44"/>
      <c r="G413" s="44"/>
    </row>
    <row r="414" spans="1:7" x14ac:dyDescent="0.2">
      <c r="A414" s="43"/>
      <c r="B414" s="43"/>
      <c r="C414" s="43"/>
      <c r="D414" s="43"/>
      <c r="E414" s="43"/>
      <c r="F414" s="43"/>
      <c r="G414" s="43"/>
    </row>
    <row r="415" spans="1:7" x14ac:dyDescent="0.2">
      <c r="A415" s="44"/>
      <c r="B415" s="44"/>
      <c r="C415" s="44"/>
      <c r="D415" s="44"/>
      <c r="E415" s="44"/>
      <c r="F415" s="44"/>
      <c r="G415" s="44"/>
    </row>
    <row r="416" spans="1:7" x14ac:dyDescent="0.2">
      <c r="A416" s="43"/>
      <c r="B416" s="43"/>
      <c r="C416" s="43"/>
      <c r="D416" s="43"/>
      <c r="E416" s="43"/>
      <c r="F416" s="43"/>
      <c r="G416" s="43"/>
    </row>
    <row r="417" spans="1:7" x14ac:dyDescent="0.2">
      <c r="A417" s="44"/>
      <c r="B417" s="44"/>
      <c r="C417" s="44"/>
      <c r="D417" s="44"/>
      <c r="E417" s="44"/>
      <c r="F417" s="44"/>
      <c r="G417" s="44"/>
    </row>
    <row r="418" spans="1:7" x14ac:dyDescent="0.2">
      <c r="A418" s="43"/>
      <c r="B418" s="43"/>
      <c r="C418" s="43"/>
      <c r="D418" s="43"/>
      <c r="E418" s="43"/>
      <c r="F418" s="43"/>
      <c r="G418" s="43"/>
    </row>
    <row r="419" spans="1:7" x14ac:dyDescent="0.2">
      <c r="A419" s="44"/>
      <c r="B419" s="44"/>
      <c r="C419" s="44"/>
      <c r="D419" s="44"/>
      <c r="E419" s="44"/>
      <c r="F419" s="44"/>
      <c r="G419" s="44"/>
    </row>
    <row r="420" spans="1:7" x14ac:dyDescent="0.2">
      <c r="A420" s="43"/>
      <c r="B420" s="43"/>
      <c r="C420" s="43"/>
      <c r="D420" s="43"/>
      <c r="E420" s="43"/>
      <c r="F420" s="43"/>
      <c r="G420" s="43"/>
    </row>
    <row r="421" spans="1:7" x14ac:dyDescent="0.2">
      <c r="A421" s="44"/>
      <c r="B421" s="44"/>
      <c r="C421" s="44"/>
      <c r="D421" s="44"/>
      <c r="E421" s="44"/>
      <c r="F421" s="44"/>
      <c r="G421" s="44"/>
    </row>
    <row r="422" spans="1:7" x14ac:dyDescent="0.2">
      <c r="A422" s="43"/>
      <c r="B422" s="43"/>
      <c r="C422" s="43"/>
      <c r="D422" s="43"/>
      <c r="E422" s="43"/>
      <c r="F422" s="43"/>
      <c r="G422" s="43"/>
    </row>
    <row r="423" spans="1:7" x14ac:dyDescent="0.2">
      <c r="A423" s="44"/>
      <c r="B423" s="44"/>
      <c r="C423" s="44"/>
      <c r="D423" s="44"/>
      <c r="E423" s="44"/>
      <c r="F423" s="44"/>
      <c r="G423" s="44"/>
    </row>
    <row r="424" spans="1:7" x14ac:dyDescent="0.2">
      <c r="A424" s="43"/>
      <c r="B424" s="43"/>
      <c r="C424" s="43"/>
      <c r="D424" s="43"/>
      <c r="E424" s="43"/>
      <c r="F424" s="43"/>
      <c r="G424" s="43"/>
    </row>
    <row r="425" spans="1:7" x14ac:dyDescent="0.2">
      <c r="A425" s="44"/>
      <c r="B425" s="44"/>
      <c r="C425" s="44"/>
      <c r="D425" s="44"/>
      <c r="E425" s="44"/>
      <c r="F425" s="44"/>
      <c r="G425" s="44"/>
    </row>
    <row r="426" spans="1:7" x14ac:dyDescent="0.2">
      <c r="A426" s="43"/>
      <c r="B426" s="43"/>
      <c r="C426" s="43"/>
      <c r="D426" s="43"/>
      <c r="E426" s="43"/>
      <c r="F426" s="43"/>
      <c r="G426" s="43"/>
    </row>
    <row r="427" spans="1:7" x14ac:dyDescent="0.2">
      <c r="A427" s="44"/>
      <c r="B427" s="44"/>
      <c r="C427" s="44"/>
      <c r="D427" s="44"/>
      <c r="E427" s="44"/>
      <c r="F427" s="44"/>
      <c r="G427" s="44"/>
    </row>
    <row r="428" spans="1:7" x14ac:dyDescent="0.2">
      <c r="A428" s="43"/>
      <c r="B428" s="43"/>
      <c r="C428" s="43"/>
      <c r="D428" s="43"/>
      <c r="E428" s="43"/>
      <c r="F428" s="43"/>
      <c r="G428" s="43"/>
    </row>
    <row r="429" spans="1:7" x14ac:dyDescent="0.2">
      <c r="A429" s="44"/>
      <c r="B429" s="44"/>
      <c r="C429" s="44"/>
      <c r="D429" s="44"/>
      <c r="E429" s="44"/>
      <c r="F429" s="44"/>
      <c r="G429" s="44"/>
    </row>
    <row r="430" spans="1:7" x14ac:dyDescent="0.2">
      <c r="A430" s="43"/>
      <c r="B430" s="43"/>
      <c r="C430" s="43"/>
      <c r="D430" s="43"/>
      <c r="E430" s="43"/>
      <c r="F430" s="43"/>
      <c r="G430" s="43"/>
    </row>
    <row r="431" spans="1:7" x14ac:dyDescent="0.2">
      <c r="A431" s="44"/>
      <c r="B431" s="44"/>
      <c r="C431" s="44"/>
      <c r="D431" s="44"/>
      <c r="E431" s="44"/>
      <c r="F431" s="44"/>
      <c r="G431" s="44"/>
    </row>
    <row r="432" spans="1:7" x14ac:dyDescent="0.2">
      <c r="A432" s="43"/>
      <c r="B432" s="43"/>
      <c r="C432" s="43"/>
      <c r="D432" s="43"/>
      <c r="E432" s="43"/>
      <c r="F432" s="43"/>
      <c r="G432" s="43"/>
    </row>
    <row r="433" spans="1:7" x14ac:dyDescent="0.2">
      <c r="A433" s="44"/>
      <c r="B433" s="44"/>
      <c r="C433" s="44"/>
      <c r="D433" s="44"/>
      <c r="E433" s="44"/>
      <c r="F433" s="44"/>
      <c r="G433" s="44"/>
    </row>
    <row r="434" spans="1:7" x14ac:dyDescent="0.2">
      <c r="A434" s="43"/>
      <c r="B434" s="43"/>
      <c r="C434" s="43"/>
      <c r="D434" s="43"/>
      <c r="E434" s="43"/>
      <c r="F434" s="43"/>
      <c r="G434" s="43"/>
    </row>
    <row r="435" spans="1:7" x14ac:dyDescent="0.2">
      <c r="A435" s="44"/>
      <c r="B435" s="44"/>
      <c r="C435" s="44"/>
      <c r="D435" s="44"/>
      <c r="E435" s="44"/>
      <c r="F435" s="44"/>
      <c r="G435" s="44"/>
    </row>
    <row r="436" spans="1:7" x14ac:dyDescent="0.2">
      <c r="A436" s="43"/>
      <c r="B436" s="43"/>
      <c r="C436" s="43"/>
      <c r="D436" s="43"/>
      <c r="E436" s="43"/>
      <c r="F436" s="43"/>
      <c r="G436" s="43"/>
    </row>
    <row r="437" spans="1:7" x14ac:dyDescent="0.2">
      <c r="A437" s="44"/>
      <c r="B437" s="44"/>
      <c r="C437" s="44"/>
      <c r="D437" s="44"/>
      <c r="E437" s="44"/>
      <c r="F437" s="44"/>
      <c r="G437" s="44"/>
    </row>
    <row r="438" spans="1:7" x14ac:dyDescent="0.2">
      <c r="A438" s="43"/>
      <c r="B438" s="43"/>
      <c r="C438" s="43"/>
      <c r="D438" s="43"/>
      <c r="E438" s="43"/>
      <c r="F438" s="43"/>
      <c r="G438" s="43"/>
    </row>
    <row r="439" spans="1:7" x14ac:dyDescent="0.2">
      <c r="A439" s="44"/>
      <c r="B439" s="44"/>
      <c r="C439" s="44"/>
      <c r="D439" s="44"/>
      <c r="E439" s="44"/>
      <c r="F439" s="44"/>
      <c r="G439" s="44"/>
    </row>
    <row r="440" spans="1:7" x14ac:dyDescent="0.2">
      <c r="A440" s="43"/>
      <c r="B440" s="43"/>
      <c r="C440" s="43"/>
      <c r="D440" s="43"/>
      <c r="E440" s="43"/>
      <c r="F440" s="43"/>
      <c r="G440" s="43"/>
    </row>
    <row r="441" spans="1:7" x14ac:dyDescent="0.2">
      <c r="A441" s="44"/>
      <c r="B441" s="44"/>
      <c r="C441" s="44"/>
      <c r="D441" s="44"/>
      <c r="E441" s="44"/>
      <c r="F441" s="44"/>
      <c r="G441" s="44"/>
    </row>
    <row r="442" spans="1:7" x14ac:dyDescent="0.2">
      <c r="A442" s="43"/>
      <c r="B442" s="43"/>
      <c r="C442" s="43"/>
      <c r="D442" s="43"/>
      <c r="E442" s="43"/>
      <c r="F442" s="43"/>
      <c r="G442" s="43"/>
    </row>
    <row r="443" spans="1:7" x14ac:dyDescent="0.2">
      <c r="A443" s="44"/>
      <c r="B443" s="44"/>
      <c r="C443" s="44"/>
      <c r="D443" s="44"/>
      <c r="E443" s="44"/>
      <c r="F443" s="44"/>
      <c r="G443" s="44"/>
    </row>
    <row r="444" spans="1:7" x14ac:dyDescent="0.2">
      <c r="A444" s="43"/>
      <c r="B444" s="43"/>
      <c r="C444" s="43"/>
      <c r="D444" s="43"/>
      <c r="E444" s="43"/>
      <c r="F444" s="43"/>
      <c r="G444" s="43"/>
    </row>
    <row r="445" spans="1:7" x14ac:dyDescent="0.2">
      <c r="A445" s="44"/>
      <c r="B445" s="44"/>
      <c r="C445" s="44"/>
      <c r="D445" s="44"/>
      <c r="E445" s="44"/>
      <c r="F445" s="44"/>
      <c r="G445" s="44"/>
    </row>
    <row r="446" spans="1:7" x14ac:dyDescent="0.2">
      <c r="A446" s="43"/>
      <c r="B446" s="43"/>
      <c r="C446" s="43"/>
      <c r="D446" s="43"/>
      <c r="E446" s="43"/>
      <c r="F446" s="43"/>
      <c r="G446" s="43"/>
    </row>
    <row r="447" spans="1:7" x14ac:dyDescent="0.2">
      <c r="A447" s="44"/>
      <c r="B447" s="44"/>
      <c r="C447" s="44"/>
      <c r="D447" s="44"/>
      <c r="E447" s="44"/>
      <c r="F447" s="44"/>
      <c r="G447" s="44"/>
    </row>
    <row r="448" spans="1:7" x14ac:dyDescent="0.2">
      <c r="A448" s="43"/>
      <c r="B448" s="43"/>
      <c r="C448" s="43"/>
      <c r="D448" s="43"/>
      <c r="E448" s="43"/>
      <c r="F448" s="43"/>
      <c r="G448" s="43"/>
    </row>
    <row r="449" spans="1:7" x14ac:dyDescent="0.2">
      <c r="A449" s="44"/>
      <c r="B449" s="44"/>
      <c r="C449" s="44"/>
      <c r="D449" s="44"/>
      <c r="E449" s="44"/>
      <c r="F449" s="44"/>
      <c r="G449" s="44"/>
    </row>
    <row r="450" spans="1:7" x14ac:dyDescent="0.2">
      <c r="A450" s="43"/>
      <c r="B450" s="43"/>
      <c r="C450" s="43"/>
      <c r="D450" s="43"/>
      <c r="E450" s="43"/>
      <c r="F450" s="43"/>
      <c r="G450" s="43"/>
    </row>
    <row r="451" spans="1:7" x14ac:dyDescent="0.2">
      <c r="A451" s="44"/>
      <c r="B451" s="44"/>
      <c r="C451" s="44"/>
      <c r="D451" s="44"/>
      <c r="E451" s="44"/>
      <c r="F451" s="44"/>
      <c r="G451" s="44"/>
    </row>
    <row r="452" spans="1:7" x14ac:dyDescent="0.2">
      <c r="A452" s="43"/>
      <c r="B452" s="43"/>
      <c r="C452" s="43"/>
      <c r="D452" s="43"/>
      <c r="E452" s="43"/>
      <c r="F452" s="43"/>
      <c r="G452" s="43"/>
    </row>
    <row r="453" spans="1:7" x14ac:dyDescent="0.2">
      <c r="A453" s="44"/>
      <c r="B453" s="44"/>
      <c r="C453" s="44"/>
      <c r="D453" s="44"/>
      <c r="E453" s="44"/>
      <c r="F453" s="44"/>
      <c r="G453" s="44"/>
    </row>
    <row r="454" spans="1:7" x14ac:dyDescent="0.2">
      <c r="A454" s="43"/>
      <c r="B454" s="43"/>
      <c r="C454" s="43"/>
      <c r="D454" s="43"/>
      <c r="E454" s="43"/>
      <c r="F454" s="43"/>
      <c r="G454" s="43"/>
    </row>
    <row r="455" spans="1:7" x14ac:dyDescent="0.2">
      <c r="A455" s="44"/>
      <c r="B455" s="44"/>
      <c r="C455" s="44"/>
      <c r="D455" s="44"/>
      <c r="E455" s="44"/>
      <c r="F455" s="44"/>
      <c r="G455" s="44"/>
    </row>
    <row r="456" spans="1:7" x14ac:dyDescent="0.2">
      <c r="A456" s="43"/>
      <c r="B456" s="43"/>
      <c r="C456" s="43"/>
      <c r="D456" s="43"/>
      <c r="E456" s="43"/>
      <c r="F456" s="43"/>
      <c r="G456" s="43"/>
    </row>
    <row r="457" spans="1:7" x14ac:dyDescent="0.2">
      <c r="A457" s="44"/>
      <c r="B457" s="44"/>
      <c r="C457" s="44"/>
      <c r="D457" s="44"/>
      <c r="E457" s="44"/>
      <c r="F457" s="44"/>
      <c r="G457" s="44"/>
    </row>
    <row r="458" spans="1:7" x14ac:dyDescent="0.2">
      <c r="A458" s="43"/>
      <c r="B458" s="43"/>
      <c r="C458" s="43"/>
      <c r="D458" s="43"/>
      <c r="E458" s="43"/>
      <c r="F458" s="43"/>
      <c r="G458" s="43"/>
    </row>
    <row r="459" spans="1:7" x14ac:dyDescent="0.2">
      <c r="A459" s="44"/>
      <c r="B459" s="44"/>
      <c r="C459" s="44"/>
      <c r="D459" s="44"/>
      <c r="E459" s="44"/>
      <c r="F459" s="44"/>
      <c r="G459" s="44"/>
    </row>
    <row r="460" spans="1:7" x14ac:dyDescent="0.2">
      <c r="A460" s="43"/>
      <c r="B460" s="43"/>
      <c r="C460" s="43"/>
      <c r="D460" s="43"/>
      <c r="E460" s="43"/>
      <c r="F460" s="43"/>
      <c r="G460" s="43"/>
    </row>
    <row r="461" spans="1:7" x14ac:dyDescent="0.2">
      <c r="A461" s="44"/>
      <c r="B461" s="44"/>
      <c r="C461" s="44"/>
      <c r="D461" s="44"/>
      <c r="E461" s="44"/>
      <c r="F461" s="44"/>
      <c r="G461" s="44"/>
    </row>
    <row r="462" spans="1:7" x14ac:dyDescent="0.2">
      <c r="A462" s="43"/>
      <c r="B462" s="43"/>
      <c r="C462" s="43"/>
      <c r="D462" s="43"/>
      <c r="E462" s="43"/>
      <c r="F462" s="43"/>
      <c r="G462" s="43"/>
    </row>
    <row r="463" spans="1:7" x14ac:dyDescent="0.2">
      <c r="A463" s="44"/>
      <c r="B463" s="44"/>
      <c r="C463" s="44"/>
      <c r="D463" s="44"/>
      <c r="E463" s="44"/>
      <c r="F463" s="44"/>
      <c r="G463" s="44"/>
    </row>
    <row r="464" spans="1:7" x14ac:dyDescent="0.2">
      <c r="A464" s="43"/>
      <c r="B464" s="43"/>
      <c r="C464" s="43"/>
      <c r="D464" s="43"/>
      <c r="E464" s="43"/>
      <c r="F464" s="43"/>
      <c r="G464" s="43"/>
    </row>
    <row r="465" spans="1:7" x14ac:dyDescent="0.2">
      <c r="A465" s="44"/>
      <c r="B465" s="44"/>
      <c r="C465" s="44"/>
      <c r="D465" s="44"/>
      <c r="E465" s="44"/>
      <c r="F465" s="44"/>
      <c r="G465" s="44"/>
    </row>
    <row r="466" spans="1:7" x14ac:dyDescent="0.2">
      <c r="A466" s="43"/>
      <c r="B466" s="43"/>
      <c r="C466" s="43"/>
      <c r="D466" s="43"/>
      <c r="E466" s="43"/>
      <c r="F466" s="43"/>
      <c r="G466" s="43"/>
    </row>
    <row r="467" spans="1:7" x14ac:dyDescent="0.2">
      <c r="A467" s="44"/>
      <c r="B467" s="44"/>
      <c r="C467" s="44"/>
      <c r="D467" s="44"/>
      <c r="E467" s="44"/>
      <c r="F467" s="44"/>
      <c r="G467" s="44"/>
    </row>
    <row r="468" spans="1:7" x14ac:dyDescent="0.2">
      <c r="A468" s="43"/>
      <c r="B468" s="43"/>
      <c r="C468" s="43"/>
      <c r="D468" s="43"/>
      <c r="E468" s="43"/>
      <c r="F468" s="43"/>
      <c r="G468" s="43"/>
    </row>
    <row r="469" spans="1:7" x14ac:dyDescent="0.2">
      <c r="A469" s="44"/>
      <c r="B469" s="44"/>
      <c r="C469" s="44"/>
      <c r="D469" s="44"/>
      <c r="E469" s="44"/>
      <c r="F469" s="44"/>
      <c r="G469" s="44"/>
    </row>
    <row r="470" spans="1:7" x14ac:dyDescent="0.2">
      <c r="A470" s="43"/>
      <c r="B470" s="43"/>
      <c r="C470" s="43"/>
      <c r="D470" s="43"/>
      <c r="E470" s="43"/>
      <c r="F470" s="43"/>
      <c r="G470" s="43"/>
    </row>
    <row r="471" spans="1:7" x14ac:dyDescent="0.2">
      <c r="A471" s="44"/>
      <c r="B471" s="44"/>
      <c r="C471" s="44"/>
      <c r="D471" s="44"/>
      <c r="E471" s="44"/>
      <c r="F471" s="44"/>
      <c r="G471" s="44"/>
    </row>
    <row r="472" spans="1:7" x14ac:dyDescent="0.2">
      <c r="A472" s="43"/>
      <c r="B472" s="43"/>
      <c r="C472" s="43"/>
      <c r="D472" s="43"/>
      <c r="E472" s="43"/>
      <c r="F472" s="43"/>
      <c r="G472" s="43"/>
    </row>
    <row r="473" spans="1:7" x14ac:dyDescent="0.2">
      <c r="A473" s="44"/>
      <c r="B473" s="44"/>
      <c r="C473" s="44"/>
      <c r="D473" s="44"/>
      <c r="E473" s="44"/>
      <c r="F473" s="44"/>
      <c r="G473" s="44"/>
    </row>
    <row r="474" spans="1:7" x14ac:dyDescent="0.2">
      <c r="A474" s="43"/>
      <c r="B474" s="43"/>
      <c r="C474" s="43"/>
      <c r="D474" s="43"/>
      <c r="E474" s="43"/>
      <c r="F474" s="43"/>
      <c r="G474" s="43"/>
    </row>
    <row r="475" spans="1:7" x14ac:dyDescent="0.2">
      <c r="A475" s="44"/>
      <c r="B475" s="44"/>
      <c r="C475" s="44"/>
      <c r="D475" s="44"/>
      <c r="E475" s="44"/>
      <c r="F475" s="44"/>
      <c r="G475" s="44"/>
    </row>
    <row r="476" spans="1:7" x14ac:dyDescent="0.2">
      <c r="A476" s="43"/>
      <c r="B476" s="43"/>
      <c r="C476" s="43"/>
      <c r="D476" s="43"/>
      <c r="E476" s="43"/>
      <c r="F476" s="43"/>
      <c r="G476" s="43"/>
    </row>
    <row r="477" spans="1:7" x14ac:dyDescent="0.2">
      <c r="A477" s="44"/>
      <c r="B477" s="44"/>
      <c r="C477" s="44"/>
      <c r="D477" s="44"/>
      <c r="E477" s="44"/>
      <c r="F477" s="44"/>
      <c r="G477" s="44"/>
    </row>
    <row r="478" spans="1:7" x14ac:dyDescent="0.2">
      <c r="A478" s="43"/>
      <c r="B478" s="43"/>
      <c r="C478" s="43"/>
      <c r="D478" s="43"/>
      <c r="E478" s="43"/>
      <c r="F478" s="43"/>
      <c r="G478" s="43"/>
    </row>
    <row r="479" spans="1:7" x14ac:dyDescent="0.2">
      <c r="A479" s="44"/>
      <c r="B479" s="44"/>
      <c r="C479" s="44"/>
      <c r="D479" s="44"/>
      <c r="E479" s="44"/>
      <c r="F479" s="44"/>
      <c r="G479" s="44"/>
    </row>
    <row r="480" spans="1:7" x14ac:dyDescent="0.2">
      <c r="A480" s="43"/>
      <c r="B480" s="43"/>
      <c r="C480" s="43"/>
      <c r="D480" s="43"/>
      <c r="E480" s="43"/>
      <c r="F480" s="43"/>
      <c r="G480" s="43"/>
    </row>
    <row r="481" spans="1:7" x14ac:dyDescent="0.2">
      <c r="A481" s="44"/>
      <c r="B481" s="44"/>
      <c r="C481" s="44"/>
      <c r="D481" s="44"/>
      <c r="E481" s="44"/>
      <c r="F481" s="44"/>
      <c r="G481" s="44"/>
    </row>
    <row r="482" spans="1:7" x14ac:dyDescent="0.2">
      <c r="A482" s="43"/>
      <c r="B482" s="43"/>
      <c r="C482" s="43"/>
      <c r="D482" s="43"/>
      <c r="E482" s="43"/>
      <c r="F482" s="43"/>
      <c r="G482" s="43"/>
    </row>
    <row r="483" spans="1:7" x14ac:dyDescent="0.2">
      <c r="A483" s="44"/>
      <c r="B483" s="44"/>
      <c r="C483" s="44"/>
      <c r="D483" s="44"/>
      <c r="E483" s="44"/>
      <c r="F483" s="44"/>
      <c r="G483" s="44"/>
    </row>
    <row r="484" spans="1:7" x14ac:dyDescent="0.2">
      <c r="A484" s="43"/>
      <c r="B484" s="43"/>
      <c r="C484" s="43"/>
      <c r="D484" s="43"/>
      <c r="E484" s="43"/>
      <c r="F484" s="43"/>
      <c r="G484" s="43"/>
    </row>
    <row r="485" spans="1:7" x14ac:dyDescent="0.2">
      <c r="A485" s="44"/>
      <c r="B485" s="44"/>
      <c r="C485" s="44"/>
      <c r="D485" s="44"/>
      <c r="E485" s="44"/>
      <c r="F485" s="44"/>
      <c r="G485" s="44"/>
    </row>
    <row r="486" spans="1:7" x14ac:dyDescent="0.2">
      <c r="A486" s="43"/>
      <c r="B486" s="43"/>
      <c r="C486" s="43"/>
      <c r="D486" s="43"/>
      <c r="E486" s="43"/>
      <c r="F486" s="43"/>
      <c r="G486" s="43"/>
    </row>
    <row r="487" spans="1:7" x14ac:dyDescent="0.2">
      <c r="A487" s="44"/>
      <c r="B487" s="44"/>
      <c r="C487" s="44"/>
      <c r="D487" s="44"/>
      <c r="E487" s="44"/>
      <c r="F487" s="44"/>
      <c r="G487" s="44"/>
    </row>
    <row r="488" spans="1:7" x14ac:dyDescent="0.2">
      <c r="A488" s="43"/>
      <c r="B488" s="43"/>
      <c r="C488" s="43"/>
      <c r="D488" s="43"/>
      <c r="E488" s="43"/>
      <c r="F488" s="43"/>
      <c r="G488" s="43"/>
    </row>
    <row r="489" spans="1:7" x14ac:dyDescent="0.2">
      <c r="A489" s="44"/>
      <c r="B489" s="44"/>
      <c r="C489" s="44"/>
      <c r="D489" s="44"/>
      <c r="E489" s="44"/>
      <c r="F489" s="44"/>
      <c r="G489" s="44"/>
    </row>
    <row r="490" spans="1:7" x14ac:dyDescent="0.2">
      <c r="A490" s="43"/>
      <c r="B490" s="43"/>
      <c r="C490" s="43"/>
      <c r="D490" s="43"/>
      <c r="E490" s="43"/>
      <c r="F490" s="43"/>
      <c r="G490" s="43"/>
    </row>
    <row r="491" spans="1:7" x14ac:dyDescent="0.2">
      <c r="A491" s="44"/>
      <c r="B491" s="44"/>
      <c r="C491" s="44"/>
      <c r="D491" s="44"/>
      <c r="E491" s="44"/>
      <c r="F491" s="44"/>
      <c r="G491" s="44"/>
    </row>
    <row r="492" spans="1:7" x14ac:dyDescent="0.2">
      <c r="A492" s="43"/>
      <c r="B492" s="43"/>
      <c r="C492" s="43"/>
      <c r="D492" s="43"/>
      <c r="E492" s="43"/>
      <c r="F492" s="43"/>
      <c r="G492" s="43"/>
    </row>
    <row r="493" spans="1:7" x14ac:dyDescent="0.2">
      <c r="A493" s="44"/>
      <c r="B493" s="44"/>
      <c r="C493" s="44"/>
      <c r="D493" s="44"/>
      <c r="E493" s="44"/>
      <c r="F493" s="44"/>
      <c r="G493" s="44"/>
    </row>
    <row r="494" spans="1:7" x14ac:dyDescent="0.2">
      <c r="A494" s="43"/>
      <c r="B494" s="43"/>
      <c r="C494" s="43"/>
      <c r="D494" s="43"/>
      <c r="E494" s="43"/>
      <c r="F494" s="43"/>
      <c r="G494" s="43"/>
    </row>
    <row r="495" spans="1:7" x14ac:dyDescent="0.2">
      <c r="A495" s="44"/>
      <c r="B495" s="44"/>
      <c r="C495" s="44"/>
      <c r="D495" s="44"/>
      <c r="E495" s="44"/>
      <c r="F495" s="44"/>
      <c r="G495" s="44"/>
    </row>
    <row r="496" spans="1:7" x14ac:dyDescent="0.2">
      <c r="A496" s="43"/>
      <c r="B496" s="43"/>
      <c r="C496" s="43"/>
      <c r="D496" s="43"/>
      <c r="E496" s="43"/>
      <c r="F496" s="43"/>
      <c r="G496" s="43"/>
    </row>
    <row r="497" spans="1:7" x14ac:dyDescent="0.2">
      <c r="A497" s="44"/>
      <c r="B497" s="44"/>
      <c r="C497" s="44"/>
      <c r="D497" s="44"/>
      <c r="E497" s="44"/>
      <c r="F497" s="44"/>
      <c r="G497" s="44"/>
    </row>
    <row r="498" spans="1:7" x14ac:dyDescent="0.2">
      <c r="A498" s="43"/>
      <c r="B498" s="43"/>
      <c r="C498" s="43"/>
      <c r="D498" s="43"/>
      <c r="E498" s="43"/>
      <c r="F498" s="43"/>
      <c r="G498" s="43"/>
    </row>
    <row r="499" spans="1:7" x14ac:dyDescent="0.2">
      <c r="A499" s="44"/>
      <c r="B499" s="44"/>
      <c r="C499" s="44"/>
      <c r="D499" s="44"/>
      <c r="E499" s="44"/>
      <c r="F499" s="44"/>
      <c r="G499" s="44"/>
    </row>
    <row r="500" spans="1:7" x14ac:dyDescent="0.2">
      <c r="A500" s="43"/>
      <c r="B500" s="43"/>
      <c r="C500" s="43"/>
      <c r="D500" s="43"/>
      <c r="E500" s="43"/>
      <c r="F500" s="43"/>
      <c r="G500" s="43"/>
    </row>
    <row r="501" spans="1:7" x14ac:dyDescent="0.2">
      <c r="A501" s="44"/>
      <c r="B501" s="44"/>
      <c r="C501" s="44"/>
      <c r="D501" s="44"/>
      <c r="E501" s="44"/>
      <c r="F501" s="44"/>
      <c r="G501" s="44"/>
    </row>
    <row r="502" spans="1:7" x14ac:dyDescent="0.2">
      <c r="A502" s="43"/>
      <c r="B502" s="43"/>
      <c r="C502" s="43"/>
      <c r="D502" s="43"/>
      <c r="E502" s="43"/>
      <c r="F502" s="43"/>
      <c r="G502" s="43"/>
    </row>
    <row r="503" spans="1:7" x14ac:dyDescent="0.2">
      <c r="A503" s="44"/>
      <c r="B503" s="44"/>
      <c r="C503" s="44"/>
      <c r="D503" s="44"/>
      <c r="E503" s="44"/>
      <c r="F503" s="44"/>
      <c r="G503" s="44"/>
    </row>
    <row r="504" spans="1:7" x14ac:dyDescent="0.2">
      <c r="A504" s="43"/>
      <c r="B504" s="43"/>
      <c r="C504" s="43"/>
      <c r="D504" s="43"/>
      <c r="E504" s="43"/>
      <c r="F504" s="43"/>
      <c r="G504" s="43"/>
    </row>
    <row r="505" spans="1:7" x14ac:dyDescent="0.2">
      <c r="A505" s="44"/>
      <c r="B505" s="44"/>
      <c r="C505" s="44"/>
      <c r="D505" s="44"/>
      <c r="E505" s="44"/>
      <c r="F505" s="44"/>
      <c r="G505" s="44"/>
    </row>
    <row r="506" spans="1:7" x14ac:dyDescent="0.2">
      <c r="A506" s="43"/>
      <c r="B506" s="43"/>
      <c r="C506" s="43"/>
      <c r="D506" s="43"/>
      <c r="E506" s="43"/>
      <c r="F506" s="43"/>
      <c r="G506" s="43"/>
    </row>
    <row r="507" spans="1:7" x14ac:dyDescent="0.2">
      <c r="A507" s="44"/>
      <c r="B507" s="44"/>
      <c r="C507" s="44"/>
      <c r="D507" s="44"/>
      <c r="E507" s="44"/>
      <c r="F507" s="44"/>
      <c r="G507" s="44"/>
    </row>
    <row r="508" spans="1:7" x14ac:dyDescent="0.2">
      <c r="A508" s="43"/>
      <c r="B508" s="43"/>
      <c r="C508" s="43"/>
      <c r="D508" s="43"/>
      <c r="E508" s="43"/>
      <c r="F508" s="43"/>
      <c r="G508" s="43"/>
    </row>
    <row r="509" spans="1:7" x14ac:dyDescent="0.2">
      <c r="A509" s="44"/>
      <c r="B509" s="44"/>
      <c r="C509" s="44"/>
      <c r="D509" s="44"/>
      <c r="E509" s="44"/>
      <c r="F509" s="44"/>
      <c r="G509" s="44"/>
    </row>
    <row r="510" spans="1:7" x14ac:dyDescent="0.2">
      <c r="A510" s="43"/>
      <c r="B510" s="43"/>
      <c r="C510" s="43"/>
      <c r="D510" s="43"/>
      <c r="E510" s="43"/>
      <c r="F510" s="43"/>
      <c r="G510" s="43"/>
    </row>
    <row r="511" spans="1:7" x14ac:dyDescent="0.2">
      <c r="A511" s="44"/>
      <c r="B511" s="44"/>
      <c r="C511" s="44"/>
      <c r="D511" s="44"/>
      <c r="E511" s="44"/>
      <c r="F511" s="44"/>
      <c r="G511" s="44"/>
    </row>
    <row r="512" spans="1:7" x14ac:dyDescent="0.2">
      <c r="A512" s="43"/>
      <c r="B512" s="43"/>
      <c r="C512" s="43"/>
      <c r="D512" s="43"/>
      <c r="E512" s="43"/>
      <c r="F512" s="43"/>
      <c r="G512" s="43"/>
    </row>
    <row r="513" spans="1:7" x14ac:dyDescent="0.2">
      <c r="A513" s="44"/>
      <c r="B513" s="44"/>
      <c r="C513" s="44"/>
      <c r="D513" s="44"/>
      <c r="E513" s="44"/>
      <c r="F513" s="44"/>
      <c r="G513" s="44"/>
    </row>
    <row r="514" spans="1:7" x14ac:dyDescent="0.2">
      <c r="A514" s="43"/>
      <c r="B514" s="43"/>
      <c r="C514" s="43"/>
      <c r="D514" s="43"/>
      <c r="E514" s="43"/>
      <c r="F514" s="43"/>
      <c r="G514" s="43"/>
    </row>
    <row r="515" spans="1:7" x14ac:dyDescent="0.2">
      <c r="A515" s="44"/>
      <c r="B515" s="44"/>
      <c r="C515" s="44"/>
      <c r="D515" s="44"/>
      <c r="E515" s="44"/>
      <c r="F515" s="44"/>
      <c r="G515" s="44"/>
    </row>
    <row r="516" spans="1:7" x14ac:dyDescent="0.2">
      <c r="A516" s="43"/>
      <c r="B516" s="43"/>
      <c r="C516" s="43"/>
      <c r="D516" s="43"/>
      <c r="E516" s="43"/>
      <c r="F516" s="43"/>
      <c r="G516" s="43"/>
    </row>
    <row r="517" spans="1:7" x14ac:dyDescent="0.2">
      <c r="A517" s="44"/>
      <c r="B517" s="44"/>
      <c r="C517" s="44"/>
      <c r="D517" s="44"/>
      <c r="E517" s="44"/>
      <c r="F517" s="44"/>
      <c r="G517" s="44"/>
    </row>
    <row r="518" spans="1:7" x14ac:dyDescent="0.2">
      <c r="A518" s="43"/>
      <c r="B518" s="43"/>
      <c r="C518" s="43"/>
      <c r="D518" s="43"/>
      <c r="E518" s="43"/>
      <c r="F518" s="43"/>
      <c r="G518" s="43"/>
    </row>
    <row r="519" spans="1:7" x14ac:dyDescent="0.2">
      <c r="A519" s="44"/>
      <c r="B519" s="44"/>
      <c r="C519" s="44"/>
      <c r="D519" s="44"/>
      <c r="E519" s="44"/>
      <c r="F519" s="44"/>
      <c r="G519" s="44"/>
    </row>
    <row r="520" spans="1:7" x14ac:dyDescent="0.2">
      <c r="A520" s="43"/>
      <c r="B520" s="43"/>
      <c r="C520" s="43"/>
      <c r="D520" s="43"/>
      <c r="E520" s="43"/>
      <c r="F520" s="43"/>
      <c r="G520" s="43"/>
    </row>
    <row r="521" spans="1:7" x14ac:dyDescent="0.2">
      <c r="A521" s="44"/>
      <c r="B521" s="44"/>
      <c r="C521" s="44"/>
      <c r="D521" s="44"/>
      <c r="E521" s="44"/>
      <c r="F521" s="44"/>
      <c r="G521" s="44"/>
    </row>
    <row r="522" spans="1:7" x14ac:dyDescent="0.2">
      <c r="A522" s="43"/>
      <c r="B522" s="43"/>
      <c r="C522" s="43"/>
      <c r="D522" s="43"/>
      <c r="E522" s="43"/>
      <c r="F522" s="43"/>
      <c r="G522" s="43"/>
    </row>
    <row r="523" spans="1:7" x14ac:dyDescent="0.2">
      <c r="A523" s="44"/>
      <c r="B523" s="44"/>
      <c r="C523" s="44"/>
      <c r="D523" s="44"/>
      <c r="E523" s="44"/>
      <c r="F523" s="44"/>
      <c r="G523" s="44"/>
    </row>
    <row r="524" spans="1:7" x14ac:dyDescent="0.2">
      <c r="A524" s="43"/>
      <c r="B524" s="43"/>
      <c r="C524" s="43"/>
      <c r="D524" s="43"/>
      <c r="E524" s="43"/>
      <c r="F524" s="43"/>
      <c r="G524" s="43"/>
    </row>
    <row r="525" spans="1:7" x14ac:dyDescent="0.2">
      <c r="A525" s="44"/>
      <c r="B525" s="44"/>
      <c r="C525" s="44"/>
      <c r="D525" s="44"/>
      <c r="E525" s="44"/>
      <c r="F525" s="44"/>
      <c r="G525" s="44"/>
    </row>
    <row r="526" spans="1:7" x14ac:dyDescent="0.2">
      <c r="A526" s="43"/>
      <c r="B526" s="43"/>
      <c r="C526" s="43"/>
      <c r="D526" s="43"/>
      <c r="E526" s="43"/>
      <c r="F526" s="43"/>
      <c r="G526" s="43"/>
    </row>
    <row r="527" spans="1:7" x14ac:dyDescent="0.2">
      <c r="A527" s="44"/>
      <c r="B527" s="44"/>
      <c r="C527" s="44"/>
      <c r="D527" s="44"/>
      <c r="E527" s="44"/>
      <c r="F527" s="44"/>
      <c r="G527" s="44"/>
    </row>
    <row r="528" spans="1:7" x14ac:dyDescent="0.2">
      <c r="A528" s="43"/>
      <c r="B528" s="43"/>
      <c r="C528" s="43"/>
      <c r="D528" s="43"/>
      <c r="E528" s="43"/>
      <c r="F528" s="43"/>
      <c r="G528" s="43"/>
    </row>
    <row r="529" spans="1:7" x14ac:dyDescent="0.2">
      <c r="A529" s="44"/>
      <c r="B529" s="44"/>
      <c r="C529" s="44"/>
      <c r="D529" s="44"/>
      <c r="E529" s="44"/>
      <c r="F529" s="44"/>
      <c r="G529" s="44"/>
    </row>
    <row r="530" spans="1:7" x14ac:dyDescent="0.2">
      <c r="A530" s="43"/>
      <c r="B530" s="43"/>
      <c r="C530" s="43"/>
      <c r="D530" s="43"/>
      <c r="E530" s="43"/>
      <c r="F530" s="43"/>
      <c r="G530" s="43"/>
    </row>
    <row r="531" spans="1:7" x14ac:dyDescent="0.2">
      <c r="A531" s="44"/>
      <c r="B531" s="44"/>
      <c r="C531" s="44"/>
      <c r="D531" s="44"/>
      <c r="E531" s="44"/>
      <c r="F531" s="44"/>
      <c r="G531" s="44"/>
    </row>
    <row r="532" spans="1:7" x14ac:dyDescent="0.2">
      <c r="A532" s="43"/>
      <c r="B532" s="43"/>
      <c r="C532" s="43"/>
      <c r="D532" s="43"/>
      <c r="E532" s="43"/>
      <c r="F532" s="43"/>
      <c r="G532" s="43"/>
    </row>
    <row r="533" spans="1:7" x14ac:dyDescent="0.2">
      <c r="A533" s="44"/>
      <c r="B533" s="44"/>
      <c r="C533" s="44"/>
      <c r="D533" s="44"/>
      <c r="E533" s="44"/>
      <c r="F533" s="44"/>
      <c r="G533" s="44"/>
    </row>
    <row r="534" spans="1:7" x14ac:dyDescent="0.2">
      <c r="A534" s="43"/>
      <c r="B534" s="43"/>
      <c r="C534" s="43"/>
      <c r="D534" s="43"/>
      <c r="E534" s="43"/>
      <c r="F534" s="43"/>
      <c r="G534" s="43"/>
    </row>
    <row r="535" spans="1:7" x14ac:dyDescent="0.2">
      <c r="A535" s="44"/>
      <c r="B535" s="44"/>
      <c r="C535" s="44"/>
      <c r="D535" s="44"/>
      <c r="E535" s="44"/>
      <c r="F535" s="44"/>
      <c r="G535" s="44"/>
    </row>
    <row r="536" spans="1:7" x14ac:dyDescent="0.2">
      <c r="A536" s="43"/>
      <c r="B536" s="43"/>
      <c r="C536" s="43"/>
      <c r="D536" s="43"/>
      <c r="E536" s="43"/>
      <c r="F536" s="43"/>
      <c r="G536" s="43"/>
    </row>
    <row r="537" spans="1:7" x14ac:dyDescent="0.2">
      <c r="A537" s="44"/>
      <c r="B537" s="44"/>
      <c r="C537" s="44"/>
      <c r="D537" s="44"/>
      <c r="E537" s="44"/>
      <c r="F537" s="44"/>
      <c r="G537" s="44"/>
    </row>
    <row r="538" spans="1:7" x14ac:dyDescent="0.2">
      <c r="A538" s="43"/>
      <c r="B538" s="43"/>
      <c r="C538" s="43"/>
      <c r="D538" s="43"/>
      <c r="E538" s="43"/>
      <c r="F538" s="43"/>
      <c r="G538" s="43"/>
    </row>
    <row r="539" spans="1:7" x14ac:dyDescent="0.2">
      <c r="A539" s="44"/>
      <c r="B539" s="44"/>
      <c r="C539" s="44"/>
      <c r="D539" s="44"/>
      <c r="E539" s="44"/>
      <c r="F539" s="44"/>
      <c r="G539" s="44"/>
    </row>
    <row r="540" spans="1:7" x14ac:dyDescent="0.2">
      <c r="A540" s="43"/>
      <c r="B540" s="43"/>
      <c r="C540" s="43"/>
      <c r="D540" s="43"/>
      <c r="E540" s="43"/>
      <c r="F540" s="43"/>
      <c r="G540" s="43"/>
    </row>
    <row r="541" spans="1:7" x14ac:dyDescent="0.2">
      <c r="A541" s="44"/>
      <c r="B541" s="44"/>
      <c r="C541" s="44"/>
      <c r="D541" s="44"/>
      <c r="E541" s="44"/>
      <c r="F541" s="44"/>
      <c r="G541" s="44"/>
    </row>
    <row r="542" spans="1:7" x14ac:dyDescent="0.2">
      <c r="A542" s="43"/>
      <c r="B542" s="43"/>
      <c r="C542" s="43"/>
      <c r="D542" s="43"/>
      <c r="E542" s="43"/>
      <c r="F542" s="43"/>
      <c r="G542" s="43"/>
    </row>
    <row r="543" spans="1:7" x14ac:dyDescent="0.2">
      <c r="A543" s="44"/>
      <c r="B543" s="44"/>
      <c r="C543" s="44"/>
      <c r="D543" s="44"/>
      <c r="E543" s="44"/>
      <c r="F543" s="44"/>
      <c r="G543" s="44"/>
    </row>
    <row r="544" spans="1:7" x14ac:dyDescent="0.2">
      <c r="A544" s="43"/>
      <c r="B544" s="43"/>
      <c r="C544" s="43"/>
      <c r="D544" s="43"/>
      <c r="E544" s="43"/>
      <c r="F544" s="43"/>
      <c r="G544" s="43"/>
    </row>
    <row r="545" spans="1:7" x14ac:dyDescent="0.2">
      <c r="A545" s="44"/>
      <c r="B545" s="44"/>
      <c r="C545" s="44"/>
      <c r="D545" s="44"/>
      <c r="E545" s="44"/>
      <c r="F545" s="44"/>
      <c r="G545" s="44"/>
    </row>
    <row r="546" spans="1:7" x14ac:dyDescent="0.2">
      <c r="A546" s="43"/>
      <c r="B546" s="43"/>
      <c r="C546" s="43"/>
      <c r="D546" s="43"/>
      <c r="E546" s="43"/>
      <c r="F546" s="43"/>
      <c r="G546" s="43"/>
    </row>
    <row r="547" spans="1:7" x14ac:dyDescent="0.2">
      <c r="A547" s="44"/>
      <c r="B547" s="44"/>
      <c r="C547" s="44"/>
      <c r="D547" s="44"/>
      <c r="E547" s="44"/>
      <c r="F547" s="44"/>
      <c r="G547" s="44"/>
    </row>
    <row r="548" spans="1:7" x14ac:dyDescent="0.2">
      <c r="A548" s="43"/>
      <c r="B548" s="43"/>
      <c r="C548" s="43"/>
      <c r="D548" s="43"/>
      <c r="E548" s="43"/>
      <c r="F548" s="43"/>
      <c r="G548" s="43"/>
    </row>
    <row r="549" spans="1:7" x14ac:dyDescent="0.2">
      <c r="A549" s="44"/>
      <c r="B549" s="44"/>
      <c r="C549" s="44"/>
      <c r="D549" s="44"/>
      <c r="E549" s="44"/>
      <c r="F549" s="44"/>
      <c r="G549" s="44"/>
    </row>
    <row r="550" spans="1:7" x14ac:dyDescent="0.2">
      <c r="A550" s="43"/>
      <c r="B550" s="43"/>
      <c r="C550" s="43"/>
      <c r="D550" s="43"/>
      <c r="E550" s="43"/>
      <c r="F550" s="43"/>
      <c r="G550" s="43"/>
    </row>
    <row r="551" spans="1:7" x14ac:dyDescent="0.2">
      <c r="A551" s="44"/>
      <c r="B551" s="44"/>
      <c r="C551" s="44"/>
      <c r="D551" s="44"/>
      <c r="E551" s="44"/>
      <c r="F551" s="44"/>
      <c r="G551" s="44"/>
    </row>
    <row r="552" spans="1:7" x14ac:dyDescent="0.2">
      <c r="A552" s="43"/>
      <c r="B552" s="43"/>
      <c r="C552" s="43"/>
      <c r="D552" s="43"/>
      <c r="E552" s="43"/>
      <c r="F552" s="43"/>
      <c r="G552" s="43"/>
    </row>
    <row r="553" spans="1:7" x14ac:dyDescent="0.2">
      <c r="A553" s="44"/>
      <c r="B553" s="44"/>
      <c r="C553" s="44"/>
      <c r="D553" s="44"/>
      <c r="E553" s="44"/>
      <c r="F553" s="44"/>
      <c r="G553" s="44"/>
    </row>
    <row r="554" spans="1:7" x14ac:dyDescent="0.2">
      <c r="A554" s="43"/>
      <c r="B554" s="43"/>
      <c r="C554" s="43"/>
      <c r="D554" s="43"/>
      <c r="E554" s="43"/>
      <c r="F554" s="43"/>
      <c r="G554" s="43"/>
    </row>
    <row r="555" spans="1:7" x14ac:dyDescent="0.2">
      <c r="A555" s="44"/>
      <c r="B555" s="44"/>
      <c r="C555" s="44"/>
      <c r="D555" s="44"/>
      <c r="E555" s="44"/>
      <c r="F555" s="44"/>
      <c r="G555" s="44"/>
    </row>
    <row r="556" spans="1:7" x14ac:dyDescent="0.2">
      <c r="A556" s="43"/>
      <c r="B556" s="43"/>
      <c r="C556" s="43"/>
      <c r="D556" s="43"/>
      <c r="E556" s="43"/>
      <c r="F556" s="43"/>
      <c r="G556" s="43"/>
    </row>
    <row r="557" spans="1:7" x14ac:dyDescent="0.2">
      <c r="A557" s="44"/>
      <c r="B557" s="44"/>
      <c r="C557" s="44"/>
      <c r="D557" s="44"/>
      <c r="E557" s="44"/>
      <c r="F557" s="44"/>
      <c r="G557" s="44"/>
    </row>
    <row r="558" spans="1:7" x14ac:dyDescent="0.2">
      <c r="A558" s="43"/>
      <c r="B558" s="43"/>
      <c r="C558" s="43"/>
      <c r="D558" s="43"/>
      <c r="E558" s="43"/>
      <c r="F558" s="43"/>
      <c r="G558" s="43"/>
    </row>
    <row r="559" spans="1:7" x14ac:dyDescent="0.2">
      <c r="A559" s="44"/>
      <c r="B559" s="44"/>
      <c r="C559" s="44"/>
      <c r="D559" s="44"/>
      <c r="E559" s="44"/>
      <c r="F559" s="44"/>
      <c r="G559" s="44"/>
    </row>
    <row r="560" spans="1:7" x14ac:dyDescent="0.2">
      <c r="A560" s="43"/>
      <c r="B560" s="43"/>
      <c r="C560" s="43"/>
      <c r="D560" s="43"/>
      <c r="E560" s="43"/>
      <c r="F560" s="43"/>
      <c r="G560" s="43"/>
    </row>
    <row r="561" spans="1:7" x14ac:dyDescent="0.2">
      <c r="A561" s="44"/>
      <c r="B561" s="44"/>
      <c r="C561" s="44"/>
      <c r="D561" s="44"/>
      <c r="E561" s="44"/>
      <c r="F561" s="44"/>
      <c r="G561" s="44"/>
    </row>
    <row r="562" spans="1:7" x14ac:dyDescent="0.2">
      <c r="A562" s="43"/>
      <c r="B562" s="43"/>
      <c r="C562" s="43"/>
      <c r="D562" s="43"/>
      <c r="E562" s="43"/>
      <c r="F562" s="43"/>
      <c r="G562" s="43"/>
    </row>
    <row r="563" spans="1:7" x14ac:dyDescent="0.2">
      <c r="A563" s="44"/>
      <c r="B563" s="44"/>
      <c r="C563" s="44"/>
      <c r="D563" s="44"/>
      <c r="E563" s="44"/>
      <c r="F563" s="44"/>
      <c r="G563" s="44"/>
    </row>
    <row r="564" spans="1:7" x14ac:dyDescent="0.2">
      <c r="A564" s="43"/>
      <c r="B564" s="43"/>
      <c r="C564" s="43"/>
      <c r="D564" s="43"/>
      <c r="E564" s="43"/>
      <c r="F564" s="43"/>
      <c r="G564" s="43"/>
    </row>
    <row r="565" spans="1:7" x14ac:dyDescent="0.2">
      <c r="A565" s="44"/>
      <c r="B565" s="44"/>
      <c r="C565" s="44"/>
      <c r="D565" s="44"/>
      <c r="E565" s="44"/>
      <c r="F565" s="44"/>
      <c r="G565" s="44"/>
    </row>
    <row r="566" spans="1:7" x14ac:dyDescent="0.2">
      <c r="A566" s="43"/>
      <c r="B566" s="43"/>
      <c r="C566" s="43"/>
      <c r="D566" s="43"/>
      <c r="E566" s="43"/>
      <c r="F566" s="43"/>
      <c r="G566" s="43"/>
    </row>
    <row r="567" spans="1:7" x14ac:dyDescent="0.2">
      <c r="A567" s="44"/>
      <c r="B567" s="44"/>
      <c r="C567" s="44"/>
      <c r="D567" s="44"/>
      <c r="E567" s="44"/>
      <c r="F567" s="44"/>
      <c r="G567" s="44"/>
    </row>
    <row r="568" spans="1:7" x14ac:dyDescent="0.2">
      <c r="A568" s="43"/>
      <c r="B568" s="43"/>
      <c r="C568" s="43"/>
      <c r="D568" s="43"/>
      <c r="E568" s="43"/>
      <c r="F568" s="43"/>
      <c r="G568" s="43"/>
    </row>
    <row r="569" spans="1:7" x14ac:dyDescent="0.2">
      <c r="A569" s="44"/>
      <c r="B569" s="44"/>
      <c r="C569" s="44"/>
      <c r="D569" s="44"/>
      <c r="E569" s="44"/>
      <c r="F569" s="44"/>
      <c r="G569" s="44"/>
    </row>
    <row r="570" spans="1:7" x14ac:dyDescent="0.2">
      <c r="A570" s="43"/>
      <c r="B570" s="43"/>
      <c r="C570" s="43"/>
      <c r="D570" s="43"/>
      <c r="E570" s="43"/>
      <c r="F570" s="43"/>
      <c r="G570" s="43"/>
    </row>
    <row r="571" spans="1:7" x14ac:dyDescent="0.2">
      <c r="A571" s="44"/>
      <c r="B571" s="44"/>
      <c r="C571" s="44"/>
      <c r="D571" s="44"/>
      <c r="E571" s="44"/>
      <c r="F571" s="44"/>
      <c r="G571" s="44"/>
    </row>
    <row r="572" spans="1:7" x14ac:dyDescent="0.2">
      <c r="A572" s="43"/>
      <c r="B572" s="43"/>
      <c r="C572" s="43"/>
      <c r="D572" s="43"/>
      <c r="E572" s="43"/>
      <c r="F572" s="43"/>
      <c r="G572" s="43"/>
    </row>
    <row r="573" spans="1:7" x14ac:dyDescent="0.2">
      <c r="A573" s="44"/>
      <c r="B573" s="44"/>
      <c r="C573" s="44"/>
      <c r="D573" s="44"/>
      <c r="E573" s="44"/>
      <c r="F573" s="44"/>
      <c r="G573" s="44"/>
    </row>
    <row r="574" spans="1:7" x14ac:dyDescent="0.2">
      <c r="A574" s="43"/>
      <c r="B574" s="43"/>
      <c r="C574" s="43"/>
      <c r="D574" s="43"/>
      <c r="E574" s="43"/>
      <c r="F574" s="43"/>
      <c r="G574" s="43"/>
    </row>
    <row r="575" spans="1:7" x14ac:dyDescent="0.2">
      <c r="A575" s="44"/>
      <c r="B575" s="44"/>
      <c r="C575" s="44"/>
      <c r="D575" s="44"/>
      <c r="E575" s="44"/>
      <c r="F575" s="44"/>
      <c r="G575" s="44"/>
    </row>
    <row r="576" spans="1:7" x14ac:dyDescent="0.2">
      <c r="A576" s="43"/>
      <c r="B576" s="43"/>
      <c r="C576" s="43"/>
      <c r="D576" s="43"/>
      <c r="E576" s="43"/>
      <c r="F576" s="43"/>
      <c r="G576" s="43"/>
    </row>
    <row r="577" spans="1:7" x14ac:dyDescent="0.2">
      <c r="A577" s="44"/>
      <c r="B577" s="44"/>
      <c r="C577" s="44"/>
      <c r="D577" s="44"/>
      <c r="E577" s="44"/>
      <c r="F577" s="44"/>
      <c r="G577" s="44"/>
    </row>
    <row r="578" spans="1:7" x14ac:dyDescent="0.2">
      <c r="A578" s="43"/>
      <c r="B578" s="43"/>
      <c r="C578" s="43"/>
      <c r="D578" s="43"/>
      <c r="E578" s="43"/>
      <c r="F578" s="43"/>
      <c r="G578" s="43"/>
    </row>
    <row r="579" spans="1:7" x14ac:dyDescent="0.2">
      <c r="A579" s="44"/>
      <c r="B579" s="44"/>
      <c r="C579" s="44"/>
      <c r="D579" s="44"/>
      <c r="E579" s="44"/>
      <c r="F579" s="44"/>
      <c r="G579" s="44"/>
    </row>
    <row r="580" spans="1:7" x14ac:dyDescent="0.2">
      <c r="A580" s="43"/>
      <c r="B580" s="43"/>
      <c r="C580" s="43"/>
      <c r="D580" s="43"/>
      <c r="E580" s="43"/>
      <c r="F580" s="43"/>
      <c r="G580" s="43"/>
    </row>
    <row r="581" spans="1:7" x14ac:dyDescent="0.2">
      <c r="A581" s="44"/>
      <c r="B581" s="44"/>
      <c r="C581" s="44"/>
      <c r="D581" s="44"/>
      <c r="E581" s="44"/>
      <c r="F581" s="44"/>
      <c r="G581" s="44"/>
    </row>
    <row r="582" spans="1:7" x14ac:dyDescent="0.2">
      <c r="A582" s="43"/>
      <c r="B582" s="43"/>
      <c r="C582" s="43"/>
      <c r="D582" s="43"/>
      <c r="E582" s="43"/>
      <c r="F582" s="43"/>
      <c r="G582" s="43"/>
    </row>
    <row r="583" spans="1:7" x14ac:dyDescent="0.2">
      <c r="A583" s="44"/>
      <c r="B583" s="44"/>
      <c r="C583" s="44"/>
      <c r="D583" s="44"/>
      <c r="E583" s="44"/>
      <c r="F583" s="44"/>
      <c r="G583" s="44"/>
    </row>
    <row r="584" spans="1:7" x14ac:dyDescent="0.2">
      <c r="A584" s="43"/>
      <c r="B584" s="43"/>
      <c r="C584" s="43"/>
      <c r="D584" s="43"/>
      <c r="E584" s="43"/>
      <c r="F584" s="43"/>
      <c r="G584" s="43"/>
    </row>
    <row r="585" spans="1:7" x14ac:dyDescent="0.2">
      <c r="A585" s="44"/>
      <c r="B585" s="44"/>
      <c r="C585" s="44"/>
      <c r="D585" s="44"/>
      <c r="E585" s="44"/>
      <c r="F585" s="44"/>
      <c r="G585" s="44"/>
    </row>
    <row r="586" spans="1:7" x14ac:dyDescent="0.2">
      <c r="A586" s="43"/>
      <c r="B586" s="43"/>
      <c r="C586" s="43"/>
      <c r="D586" s="43"/>
      <c r="E586" s="43"/>
      <c r="F586" s="43"/>
      <c r="G586" s="43"/>
    </row>
    <row r="587" spans="1:7" x14ac:dyDescent="0.2">
      <c r="A587" s="44"/>
      <c r="B587" s="44"/>
      <c r="C587" s="44"/>
      <c r="D587" s="44"/>
      <c r="E587" s="44"/>
      <c r="F587" s="44"/>
      <c r="G587" s="44"/>
    </row>
    <row r="588" spans="1:7" x14ac:dyDescent="0.2">
      <c r="A588" s="43"/>
      <c r="B588" s="43"/>
      <c r="C588" s="43"/>
      <c r="D588" s="43"/>
      <c r="E588" s="43"/>
      <c r="F588" s="43"/>
      <c r="G588" s="43"/>
    </row>
    <row r="589" spans="1:7" x14ac:dyDescent="0.2">
      <c r="A589" s="44"/>
      <c r="B589" s="44"/>
      <c r="C589" s="44"/>
      <c r="D589" s="44"/>
      <c r="E589" s="44"/>
      <c r="F589" s="44"/>
      <c r="G589" s="44"/>
    </row>
    <row r="590" spans="1:7" x14ac:dyDescent="0.2">
      <c r="A590" s="43"/>
      <c r="B590" s="43"/>
      <c r="C590" s="43"/>
      <c r="D590" s="43"/>
      <c r="E590" s="43"/>
      <c r="F590" s="43"/>
      <c r="G590" s="43"/>
    </row>
    <row r="591" spans="1:7" x14ac:dyDescent="0.2">
      <c r="A591" s="44"/>
      <c r="B591" s="44"/>
      <c r="C591" s="44"/>
      <c r="D591" s="44"/>
      <c r="E591" s="44"/>
      <c r="F591" s="44"/>
      <c r="G591" s="44"/>
    </row>
    <row r="592" spans="1:7" x14ac:dyDescent="0.2">
      <c r="A592" s="43"/>
      <c r="B592" s="43"/>
      <c r="C592" s="43"/>
      <c r="D592" s="43"/>
      <c r="E592" s="43"/>
      <c r="F592" s="43"/>
      <c r="G592" s="43"/>
    </row>
    <row r="593" spans="1:7" x14ac:dyDescent="0.2">
      <c r="A593" s="44"/>
      <c r="B593" s="44"/>
      <c r="C593" s="44"/>
      <c r="D593" s="44"/>
      <c r="E593" s="44"/>
      <c r="F593" s="44"/>
      <c r="G593" s="44"/>
    </row>
    <row r="594" spans="1:7" x14ac:dyDescent="0.2">
      <c r="A594" s="43"/>
      <c r="B594" s="43"/>
      <c r="C594" s="43"/>
      <c r="D594" s="43"/>
      <c r="E594" s="43"/>
      <c r="F594" s="43"/>
      <c r="G594" s="43"/>
    </row>
    <row r="595" spans="1:7" x14ac:dyDescent="0.2">
      <c r="A595" s="44"/>
      <c r="B595" s="44"/>
      <c r="C595" s="44"/>
      <c r="D595" s="44"/>
      <c r="E595" s="44"/>
      <c r="F595" s="44"/>
      <c r="G595" s="44"/>
    </row>
    <row r="596" spans="1:7" x14ac:dyDescent="0.2">
      <c r="A596" s="43"/>
      <c r="B596" s="43"/>
      <c r="C596" s="43"/>
      <c r="D596" s="43"/>
      <c r="E596" s="43"/>
      <c r="F596" s="43"/>
      <c r="G596" s="43"/>
    </row>
    <row r="597" spans="1:7" x14ac:dyDescent="0.2">
      <c r="A597" s="44"/>
      <c r="B597" s="44"/>
      <c r="C597" s="44"/>
      <c r="D597" s="44"/>
      <c r="E597" s="44"/>
      <c r="F597" s="44"/>
      <c r="G597" s="44"/>
    </row>
    <row r="598" spans="1:7" x14ac:dyDescent="0.2">
      <c r="A598" s="43"/>
      <c r="B598" s="43"/>
      <c r="C598" s="43"/>
      <c r="D598" s="43"/>
      <c r="E598" s="43"/>
      <c r="F598" s="43"/>
      <c r="G598" s="43"/>
    </row>
    <row r="599" spans="1:7" x14ac:dyDescent="0.2">
      <c r="A599" s="44"/>
      <c r="B599" s="44"/>
      <c r="C599" s="44"/>
      <c r="D599" s="44"/>
      <c r="E599" s="44"/>
      <c r="F599" s="44"/>
      <c r="G599" s="44"/>
    </row>
    <row r="600" spans="1:7" x14ac:dyDescent="0.2">
      <c r="A600" s="43"/>
      <c r="B600" s="43"/>
      <c r="C600" s="43"/>
      <c r="D600" s="43"/>
      <c r="E600" s="43"/>
      <c r="F600" s="43"/>
      <c r="G600" s="43"/>
    </row>
    <row r="601" spans="1:7" x14ac:dyDescent="0.2">
      <c r="A601" s="44"/>
      <c r="B601" s="44"/>
      <c r="C601" s="44"/>
      <c r="D601" s="44"/>
      <c r="E601" s="44"/>
      <c r="F601" s="44"/>
      <c r="G601" s="44"/>
    </row>
    <row r="602" spans="1:7" x14ac:dyDescent="0.2">
      <c r="A602" s="43"/>
      <c r="B602" s="43"/>
      <c r="C602" s="43"/>
      <c r="D602" s="43"/>
      <c r="E602" s="43"/>
      <c r="F602" s="43"/>
      <c r="G602" s="43"/>
    </row>
    <row r="603" spans="1:7" x14ac:dyDescent="0.2">
      <c r="A603" s="44"/>
      <c r="B603" s="44"/>
      <c r="C603" s="44"/>
      <c r="D603" s="44"/>
      <c r="E603" s="44"/>
      <c r="F603" s="44"/>
      <c r="G603" s="44"/>
    </row>
    <row r="604" spans="1:7" x14ac:dyDescent="0.2">
      <c r="A604" s="43"/>
      <c r="B604" s="43"/>
      <c r="C604" s="43"/>
      <c r="D604" s="43"/>
      <c r="E604" s="43"/>
      <c r="F604" s="43"/>
      <c r="G604" s="43"/>
    </row>
    <row r="605" spans="1:7" x14ac:dyDescent="0.2">
      <c r="A605" s="44"/>
      <c r="B605" s="44"/>
      <c r="C605" s="44"/>
      <c r="D605" s="44"/>
      <c r="E605" s="44"/>
      <c r="F605" s="44"/>
      <c r="G605" s="44"/>
    </row>
    <row r="606" spans="1:7" x14ac:dyDescent="0.2">
      <c r="A606" s="43"/>
      <c r="B606" s="43"/>
      <c r="C606" s="43"/>
      <c r="D606" s="43"/>
      <c r="E606" s="43"/>
      <c r="F606" s="43"/>
      <c r="G606" s="43"/>
    </row>
    <row r="607" spans="1:7" x14ac:dyDescent="0.2">
      <c r="A607" s="44"/>
      <c r="B607" s="44"/>
      <c r="C607" s="44"/>
      <c r="D607" s="44"/>
      <c r="E607" s="44"/>
      <c r="F607" s="44"/>
      <c r="G607" s="44"/>
    </row>
    <row r="608" spans="1:7" x14ac:dyDescent="0.2">
      <c r="A608" s="43"/>
      <c r="B608" s="43"/>
      <c r="C608" s="43"/>
      <c r="D608" s="43"/>
      <c r="E608" s="43"/>
      <c r="F608" s="43"/>
      <c r="G608" s="43"/>
    </row>
    <row r="609" spans="1:7" x14ac:dyDescent="0.2">
      <c r="A609" s="44"/>
      <c r="B609" s="44"/>
      <c r="C609" s="44"/>
      <c r="D609" s="44"/>
      <c r="E609" s="44"/>
      <c r="F609" s="44"/>
      <c r="G609" s="44"/>
    </row>
    <row r="610" spans="1:7" x14ac:dyDescent="0.2">
      <c r="A610" s="43"/>
      <c r="B610" s="43"/>
      <c r="C610" s="43"/>
      <c r="D610" s="43"/>
      <c r="E610" s="43"/>
      <c r="F610" s="43"/>
      <c r="G610" s="43"/>
    </row>
    <row r="611" spans="1:7" x14ac:dyDescent="0.2">
      <c r="A611" s="44"/>
      <c r="B611" s="44"/>
      <c r="C611" s="44"/>
      <c r="D611" s="44"/>
      <c r="E611" s="44"/>
      <c r="F611" s="44"/>
      <c r="G611" s="44"/>
    </row>
    <row r="612" spans="1:7" x14ac:dyDescent="0.2">
      <c r="A612" s="43"/>
      <c r="B612" s="43"/>
      <c r="C612" s="43"/>
      <c r="D612" s="43"/>
      <c r="E612" s="43"/>
      <c r="F612" s="43"/>
      <c r="G612" s="43"/>
    </row>
    <row r="613" spans="1:7" x14ac:dyDescent="0.2">
      <c r="A613" s="44"/>
      <c r="B613" s="44"/>
      <c r="C613" s="44"/>
      <c r="D613" s="44"/>
      <c r="E613" s="44"/>
      <c r="F613" s="44"/>
      <c r="G613" s="44"/>
    </row>
    <row r="614" spans="1:7" x14ac:dyDescent="0.2">
      <c r="A614" s="43"/>
      <c r="B614" s="43"/>
      <c r="C614" s="43"/>
      <c r="D614" s="43"/>
      <c r="E614" s="43"/>
      <c r="F614" s="43"/>
      <c r="G614" s="43"/>
    </row>
    <row r="615" spans="1:7" x14ac:dyDescent="0.2">
      <c r="A615" s="44"/>
      <c r="B615" s="44"/>
      <c r="C615" s="44"/>
      <c r="D615" s="44"/>
      <c r="E615" s="44"/>
      <c r="F615" s="44"/>
      <c r="G615" s="44"/>
    </row>
    <row r="616" spans="1:7" x14ac:dyDescent="0.2">
      <c r="A616" s="43"/>
      <c r="B616" s="43"/>
      <c r="C616" s="43"/>
      <c r="D616" s="43"/>
      <c r="E616" s="43"/>
      <c r="F616" s="43"/>
      <c r="G616" s="43"/>
    </row>
    <row r="617" spans="1:7" x14ac:dyDescent="0.2">
      <c r="A617" s="44"/>
      <c r="B617" s="44"/>
      <c r="C617" s="44"/>
      <c r="D617" s="44"/>
      <c r="E617" s="44"/>
      <c r="F617" s="44"/>
      <c r="G617" s="44"/>
    </row>
    <row r="618" spans="1:7" x14ac:dyDescent="0.2">
      <c r="A618" s="43"/>
      <c r="B618" s="43"/>
      <c r="C618" s="43"/>
      <c r="D618" s="43"/>
      <c r="E618" s="43"/>
      <c r="F618" s="43"/>
      <c r="G618" s="43"/>
    </row>
    <row r="619" spans="1:7" x14ac:dyDescent="0.2">
      <c r="A619" s="44"/>
      <c r="B619" s="44"/>
      <c r="C619" s="44"/>
      <c r="D619" s="44"/>
      <c r="E619" s="44"/>
      <c r="F619" s="44"/>
      <c r="G619" s="44"/>
    </row>
    <row r="620" spans="1:7" x14ac:dyDescent="0.2">
      <c r="A620" s="43"/>
      <c r="B620" s="43"/>
      <c r="C620" s="43"/>
      <c r="D620" s="43"/>
      <c r="E620" s="43"/>
      <c r="F620" s="43"/>
      <c r="G620" s="43"/>
    </row>
    <row r="621" spans="1:7" x14ac:dyDescent="0.2">
      <c r="A621" s="44"/>
      <c r="B621" s="44"/>
      <c r="C621" s="44"/>
      <c r="D621" s="44"/>
      <c r="E621" s="44"/>
      <c r="F621" s="44"/>
      <c r="G621" s="44"/>
    </row>
    <row r="622" spans="1:7" x14ac:dyDescent="0.2">
      <c r="A622" s="43"/>
      <c r="B622" s="43"/>
      <c r="C622" s="43"/>
      <c r="D622" s="43"/>
      <c r="E622" s="43"/>
      <c r="F622" s="43"/>
      <c r="G622" s="43"/>
    </row>
    <row r="623" spans="1:7" x14ac:dyDescent="0.2">
      <c r="A623" s="44"/>
      <c r="B623" s="44"/>
      <c r="C623" s="44"/>
      <c r="D623" s="44"/>
      <c r="E623" s="44"/>
      <c r="F623" s="44"/>
      <c r="G623" s="44"/>
    </row>
    <row r="624" spans="1:7" x14ac:dyDescent="0.2">
      <c r="A624" s="43"/>
      <c r="B624" s="43"/>
      <c r="C624" s="43"/>
      <c r="D624" s="43"/>
      <c r="E624" s="43"/>
      <c r="F624" s="43"/>
      <c r="G624" s="43"/>
    </row>
    <row r="625" spans="1:7" x14ac:dyDescent="0.2">
      <c r="A625" s="44"/>
      <c r="B625" s="44"/>
      <c r="C625" s="44"/>
      <c r="D625" s="44"/>
      <c r="E625" s="44"/>
      <c r="F625" s="44"/>
      <c r="G625" s="44"/>
    </row>
    <row r="626" spans="1:7" x14ac:dyDescent="0.2">
      <c r="A626" s="43"/>
      <c r="B626" s="43"/>
      <c r="C626" s="43"/>
      <c r="D626" s="43"/>
      <c r="E626" s="43"/>
      <c r="F626" s="43"/>
      <c r="G626" s="43"/>
    </row>
    <row r="627" spans="1:7" x14ac:dyDescent="0.2">
      <c r="A627" s="44"/>
      <c r="B627" s="44"/>
      <c r="C627" s="44"/>
      <c r="D627" s="44"/>
      <c r="E627" s="44"/>
      <c r="F627" s="44"/>
      <c r="G627" s="44"/>
    </row>
    <row r="628" spans="1:7" x14ac:dyDescent="0.2">
      <c r="A628" s="43"/>
      <c r="B628" s="43"/>
      <c r="C628" s="43"/>
      <c r="D628" s="43"/>
      <c r="E628" s="43"/>
      <c r="F628" s="43"/>
      <c r="G628" s="43"/>
    </row>
    <row r="629" spans="1:7" x14ac:dyDescent="0.2">
      <c r="A629" s="44"/>
      <c r="B629" s="44"/>
      <c r="C629" s="44"/>
      <c r="D629" s="44"/>
      <c r="E629" s="44"/>
      <c r="F629" s="44"/>
      <c r="G629" s="44"/>
    </row>
    <row r="630" spans="1:7" x14ac:dyDescent="0.2">
      <c r="A630" s="43"/>
      <c r="B630" s="43"/>
      <c r="C630" s="43"/>
      <c r="D630" s="43"/>
      <c r="E630" s="43"/>
      <c r="F630" s="43"/>
      <c r="G630" s="43"/>
    </row>
    <row r="631" spans="1:7" x14ac:dyDescent="0.2">
      <c r="A631" s="44"/>
      <c r="B631" s="44"/>
      <c r="C631" s="44"/>
      <c r="D631" s="44"/>
      <c r="E631" s="44"/>
      <c r="F631" s="44"/>
      <c r="G631" s="44"/>
    </row>
    <row r="632" spans="1:7" x14ac:dyDescent="0.2">
      <c r="A632" s="43"/>
      <c r="B632" s="43"/>
      <c r="C632" s="43"/>
      <c r="D632" s="43"/>
      <c r="E632" s="43"/>
      <c r="F632" s="43"/>
      <c r="G632" s="43"/>
    </row>
    <row r="633" spans="1:7" x14ac:dyDescent="0.2">
      <c r="A633" s="44"/>
      <c r="B633" s="44"/>
      <c r="C633" s="44"/>
      <c r="D633" s="44"/>
      <c r="E633" s="44"/>
      <c r="F633" s="44"/>
      <c r="G633" s="44"/>
    </row>
    <row r="634" spans="1:7" x14ac:dyDescent="0.2">
      <c r="A634" s="43"/>
      <c r="B634" s="43"/>
      <c r="C634" s="43"/>
      <c r="D634" s="43"/>
      <c r="E634" s="43"/>
      <c r="F634" s="43"/>
      <c r="G634" s="43"/>
    </row>
    <row r="635" spans="1:7" x14ac:dyDescent="0.2">
      <c r="A635" s="44"/>
      <c r="B635" s="44"/>
      <c r="C635" s="44"/>
      <c r="D635" s="44"/>
      <c r="E635" s="44"/>
      <c r="F635" s="44"/>
      <c r="G635" s="44"/>
    </row>
    <row r="636" spans="1:7" x14ac:dyDescent="0.2">
      <c r="A636" s="43"/>
      <c r="B636" s="43"/>
      <c r="C636" s="43"/>
      <c r="D636" s="43"/>
      <c r="E636" s="43"/>
      <c r="F636" s="43"/>
      <c r="G636" s="43"/>
    </row>
    <row r="637" spans="1:7" x14ac:dyDescent="0.2">
      <c r="A637" s="44"/>
      <c r="B637" s="44"/>
      <c r="C637" s="44"/>
      <c r="D637" s="44"/>
      <c r="E637" s="44"/>
      <c r="F637" s="44"/>
      <c r="G637" s="44"/>
    </row>
    <row r="638" spans="1:7" x14ac:dyDescent="0.2">
      <c r="A638" s="43"/>
      <c r="B638" s="43"/>
      <c r="C638" s="43"/>
      <c r="D638" s="43"/>
      <c r="E638" s="43"/>
      <c r="F638" s="43"/>
      <c r="G638" s="43"/>
    </row>
    <row r="639" spans="1:7" x14ac:dyDescent="0.2">
      <c r="A639" s="44"/>
      <c r="B639" s="44"/>
      <c r="C639" s="44"/>
      <c r="D639" s="44"/>
      <c r="E639" s="44"/>
      <c r="F639" s="44"/>
      <c r="G639" s="44"/>
    </row>
    <row r="640" spans="1:7" x14ac:dyDescent="0.2">
      <c r="A640" s="43"/>
      <c r="B640" s="43"/>
      <c r="C640" s="43"/>
      <c r="D640" s="43"/>
      <c r="E640" s="43"/>
      <c r="F640" s="43"/>
      <c r="G640" s="43"/>
    </row>
    <row r="641" spans="1:7" x14ac:dyDescent="0.2">
      <c r="A641" s="44"/>
      <c r="B641" s="44"/>
      <c r="C641" s="44"/>
      <c r="D641" s="44"/>
      <c r="E641" s="44"/>
      <c r="F641" s="44"/>
      <c r="G641" s="44"/>
    </row>
    <row r="642" spans="1:7" x14ac:dyDescent="0.2">
      <c r="A642" s="43"/>
      <c r="B642" s="43"/>
      <c r="C642" s="43"/>
      <c r="D642" s="43"/>
      <c r="E642" s="43"/>
      <c r="F642" s="43"/>
      <c r="G642" s="43"/>
    </row>
    <row r="643" spans="1:7" x14ac:dyDescent="0.2">
      <c r="A643" s="44"/>
      <c r="B643" s="44"/>
      <c r="C643" s="44"/>
      <c r="D643" s="44"/>
      <c r="E643" s="44"/>
      <c r="F643" s="44"/>
      <c r="G643" s="44"/>
    </row>
    <row r="644" spans="1:7" x14ac:dyDescent="0.2">
      <c r="A644" s="43"/>
      <c r="B644" s="43"/>
      <c r="C644" s="43"/>
      <c r="D644" s="43"/>
      <c r="E644" s="43"/>
      <c r="F644" s="43"/>
      <c r="G644" s="43"/>
    </row>
    <row r="645" spans="1:7" x14ac:dyDescent="0.2">
      <c r="A645" s="44"/>
      <c r="B645" s="44"/>
      <c r="C645" s="44"/>
      <c r="D645" s="44"/>
      <c r="E645" s="44"/>
      <c r="F645" s="44"/>
      <c r="G645" s="44"/>
    </row>
    <row r="646" spans="1:7" x14ac:dyDescent="0.2">
      <c r="A646" s="43"/>
      <c r="B646" s="43"/>
      <c r="C646" s="43"/>
      <c r="D646" s="43"/>
      <c r="E646" s="43"/>
      <c r="F646" s="43"/>
      <c r="G646" s="43"/>
    </row>
    <row r="647" spans="1:7" x14ac:dyDescent="0.2">
      <c r="A647" s="44"/>
      <c r="B647" s="44"/>
      <c r="C647" s="44"/>
      <c r="D647" s="44"/>
      <c r="E647" s="44"/>
      <c r="F647" s="44"/>
      <c r="G647" s="44"/>
    </row>
    <row r="648" spans="1:7" x14ac:dyDescent="0.2">
      <c r="A648" s="43"/>
      <c r="B648" s="43"/>
      <c r="C648" s="43"/>
      <c r="D648" s="43"/>
      <c r="E648" s="43"/>
      <c r="F648" s="43"/>
      <c r="G648" s="43"/>
    </row>
    <row r="649" spans="1:7" x14ac:dyDescent="0.2">
      <c r="A649" s="44"/>
      <c r="B649" s="44"/>
      <c r="C649" s="44"/>
      <c r="D649" s="44"/>
      <c r="E649" s="44"/>
      <c r="F649" s="44"/>
      <c r="G649" s="44"/>
    </row>
    <row r="650" spans="1:7" x14ac:dyDescent="0.2">
      <c r="A650" s="43"/>
      <c r="B650" s="43"/>
      <c r="C650" s="43"/>
      <c r="D650" s="43"/>
      <c r="E650" s="43"/>
      <c r="F650" s="43"/>
      <c r="G650" s="43"/>
    </row>
    <row r="651" spans="1:7" x14ac:dyDescent="0.2">
      <c r="A651" s="44"/>
      <c r="B651" s="44"/>
      <c r="C651" s="44"/>
      <c r="D651" s="44"/>
      <c r="E651" s="44"/>
      <c r="F651" s="44"/>
      <c r="G651" s="44"/>
    </row>
    <row r="652" spans="1:7" x14ac:dyDescent="0.2">
      <c r="A652" s="43"/>
      <c r="B652" s="43"/>
      <c r="C652" s="43"/>
      <c r="D652" s="43"/>
      <c r="E652" s="43"/>
      <c r="F652" s="43"/>
      <c r="G652" s="43"/>
    </row>
    <row r="653" spans="1:7" x14ac:dyDescent="0.2">
      <c r="A653" s="44"/>
      <c r="B653" s="44"/>
      <c r="C653" s="44"/>
      <c r="D653" s="44"/>
      <c r="E653" s="44"/>
      <c r="F653" s="44"/>
      <c r="G653" s="44"/>
    </row>
    <row r="654" spans="1:7" x14ac:dyDescent="0.2">
      <c r="A654" s="43"/>
      <c r="B654" s="43"/>
      <c r="C654" s="43"/>
      <c r="D654" s="43"/>
      <c r="E654" s="43"/>
      <c r="F654" s="43"/>
      <c r="G654" s="43"/>
    </row>
    <row r="655" spans="1:7" x14ac:dyDescent="0.2">
      <c r="A655" s="44"/>
      <c r="B655" s="44"/>
      <c r="C655" s="44"/>
      <c r="D655" s="44"/>
      <c r="E655" s="44"/>
      <c r="F655" s="44"/>
      <c r="G655" s="44"/>
    </row>
    <row r="656" spans="1:7" x14ac:dyDescent="0.2">
      <c r="A656" s="43"/>
      <c r="B656" s="43"/>
      <c r="C656" s="43"/>
      <c r="D656" s="43"/>
      <c r="E656" s="43"/>
      <c r="F656" s="43"/>
      <c r="G656" s="43"/>
    </row>
    <row r="657" spans="1:7" x14ac:dyDescent="0.2">
      <c r="A657" s="44"/>
      <c r="B657" s="44"/>
      <c r="C657" s="44"/>
      <c r="D657" s="44"/>
      <c r="E657" s="44"/>
      <c r="F657" s="44"/>
      <c r="G657" s="44"/>
    </row>
    <row r="658" spans="1:7" x14ac:dyDescent="0.2">
      <c r="A658" s="43"/>
      <c r="B658" s="43"/>
      <c r="C658" s="43"/>
      <c r="D658" s="43"/>
      <c r="E658" s="43"/>
      <c r="F658" s="43"/>
      <c r="G658" s="43"/>
    </row>
    <row r="659" spans="1:7" x14ac:dyDescent="0.2">
      <c r="A659" s="44"/>
      <c r="B659" s="44"/>
      <c r="C659" s="44"/>
      <c r="D659" s="44"/>
      <c r="E659" s="44"/>
      <c r="F659" s="44"/>
      <c r="G659" s="44"/>
    </row>
    <row r="660" spans="1:7" x14ac:dyDescent="0.2">
      <c r="A660" s="43"/>
      <c r="B660" s="43"/>
      <c r="C660" s="43"/>
      <c r="D660" s="43"/>
      <c r="E660" s="43"/>
      <c r="F660" s="43"/>
      <c r="G660" s="43"/>
    </row>
    <row r="661" spans="1:7" x14ac:dyDescent="0.2">
      <c r="A661" s="44"/>
      <c r="B661" s="44"/>
      <c r="C661" s="44"/>
      <c r="D661" s="44"/>
      <c r="E661" s="44"/>
      <c r="F661" s="44"/>
      <c r="G661" s="44"/>
    </row>
    <row r="662" spans="1:7" x14ac:dyDescent="0.2">
      <c r="A662" s="43"/>
      <c r="B662" s="43"/>
      <c r="C662" s="43"/>
      <c r="D662" s="43"/>
      <c r="E662" s="43"/>
      <c r="F662" s="43"/>
      <c r="G662" s="43"/>
    </row>
    <row r="663" spans="1:7" x14ac:dyDescent="0.2">
      <c r="A663" s="44"/>
      <c r="B663" s="44"/>
      <c r="C663" s="44"/>
      <c r="D663" s="44"/>
      <c r="E663" s="44"/>
      <c r="F663" s="44"/>
      <c r="G663" s="44"/>
    </row>
    <row r="664" spans="1:7" x14ac:dyDescent="0.2">
      <c r="A664" s="43"/>
      <c r="B664" s="43"/>
      <c r="C664" s="43"/>
      <c r="D664" s="43"/>
      <c r="E664" s="43"/>
      <c r="F664" s="43"/>
      <c r="G664" s="43"/>
    </row>
    <row r="665" spans="1:7" x14ac:dyDescent="0.2">
      <c r="A665" s="44"/>
      <c r="B665" s="44"/>
      <c r="C665" s="44"/>
      <c r="D665" s="44"/>
      <c r="E665" s="44"/>
      <c r="F665" s="44"/>
      <c r="G665" s="44"/>
    </row>
    <row r="666" spans="1:7" x14ac:dyDescent="0.2">
      <c r="A666" s="43"/>
      <c r="B666" s="43"/>
      <c r="C666" s="43"/>
      <c r="D666" s="43"/>
      <c r="E666" s="43"/>
      <c r="F666" s="43"/>
      <c r="G666" s="43"/>
    </row>
    <row r="667" spans="1:7" x14ac:dyDescent="0.2">
      <c r="A667" s="44"/>
      <c r="B667" s="44"/>
      <c r="C667" s="44"/>
      <c r="D667" s="44"/>
      <c r="E667" s="44"/>
      <c r="F667" s="44"/>
      <c r="G667" s="44"/>
    </row>
    <row r="668" spans="1:7" x14ac:dyDescent="0.2">
      <c r="A668" s="43"/>
      <c r="B668" s="43"/>
      <c r="C668" s="43"/>
      <c r="D668" s="43"/>
      <c r="E668" s="43"/>
      <c r="F668" s="43"/>
      <c r="G668" s="43"/>
    </row>
    <row r="669" spans="1:7" x14ac:dyDescent="0.2">
      <c r="A669" s="44"/>
      <c r="B669" s="44"/>
      <c r="C669" s="44"/>
      <c r="D669" s="44"/>
      <c r="E669" s="44"/>
      <c r="F669" s="44"/>
      <c r="G669" s="44"/>
    </row>
    <row r="670" spans="1:7" x14ac:dyDescent="0.2">
      <c r="A670" s="43"/>
      <c r="B670" s="43"/>
      <c r="C670" s="43"/>
      <c r="D670" s="43"/>
      <c r="E670" s="43"/>
      <c r="F670" s="43"/>
      <c r="G670" s="43"/>
    </row>
    <row r="671" spans="1:7" x14ac:dyDescent="0.2">
      <c r="A671" s="44"/>
      <c r="B671" s="44"/>
      <c r="C671" s="44"/>
      <c r="D671" s="44"/>
      <c r="E671" s="44"/>
      <c r="F671" s="44"/>
      <c r="G671" s="44"/>
    </row>
    <row r="672" spans="1:7" x14ac:dyDescent="0.2">
      <c r="A672" s="43"/>
      <c r="B672" s="43"/>
      <c r="C672" s="43"/>
      <c r="D672" s="43"/>
      <c r="E672" s="43"/>
      <c r="F672" s="43"/>
      <c r="G672" s="43"/>
    </row>
    <row r="673" spans="1:7" x14ac:dyDescent="0.2">
      <c r="A673" s="44"/>
      <c r="B673" s="44"/>
      <c r="C673" s="44"/>
      <c r="D673" s="44"/>
      <c r="E673" s="44"/>
      <c r="F673" s="44"/>
      <c r="G673" s="44"/>
    </row>
    <row r="674" spans="1:7" x14ac:dyDescent="0.2">
      <c r="A674" s="43"/>
      <c r="B674" s="43"/>
      <c r="C674" s="43"/>
      <c r="D674" s="43"/>
      <c r="E674" s="43"/>
      <c r="F674" s="43"/>
      <c r="G674" s="43"/>
    </row>
    <row r="675" spans="1:7" x14ac:dyDescent="0.2">
      <c r="A675" s="44"/>
      <c r="B675" s="44"/>
      <c r="C675" s="44"/>
      <c r="D675" s="44"/>
      <c r="E675" s="44"/>
      <c r="F675" s="44"/>
      <c r="G675" s="44"/>
    </row>
    <row r="676" spans="1:7" x14ac:dyDescent="0.2">
      <c r="A676" s="43"/>
      <c r="B676" s="43"/>
      <c r="C676" s="43"/>
      <c r="D676" s="43"/>
      <c r="E676" s="43"/>
      <c r="F676" s="43"/>
      <c r="G676" s="43"/>
    </row>
    <row r="677" spans="1:7" x14ac:dyDescent="0.2">
      <c r="A677" s="44"/>
      <c r="B677" s="44"/>
      <c r="C677" s="44"/>
      <c r="D677" s="44"/>
      <c r="E677" s="44"/>
      <c r="F677" s="44"/>
      <c r="G677" s="44"/>
    </row>
    <row r="678" spans="1:7" x14ac:dyDescent="0.2">
      <c r="A678" s="43"/>
      <c r="B678" s="43"/>
      <c r="C678" s="43"/>
      <c r="D678" s="43"/>
      <c r="E678" s="43"/>
      <c r="F678" s="43"/>
      <c r="G678" s="43"/>
    </row>
    <row r="679" spans="1:7" x14ac:dyDescent="0.2">
      <c r="A679" s="44"/>
      <c r="B679" s="44"/>
      <c r="C679" s="44"/>
      <c r="D679" s="44"/>
      <c r="E679" s="44"/>
      <c r="F679" s="44"/>
      <c r="G679" s="44"/>
    </row>
    <row r="680" spans="1:7" x14ac:dyDescent="0.2">
      <c r="A680" s="43"/>
      <c r="B680" s="43"/>
      <c r="C680" s="43"/>
      <c r="D680" s="43"/>
      <c r="E680" s="43"/>
      <c r="F680" s="43"/>
      <c r="G680" s="43"/>
    </row>
    <row r="681" spans="1:7" x14ac:dyDescent="0.2">
      <c r="A681" s="44"/>
      <c r="B681" s="44"/>
      <c r="C681" s="44"/>
      <c r="D681" s="44"/>
      <c r="E681" s="44"/>
      <c r="F681" s="44"/>
      <c r="G681" s="44"/>
    </row>
    <row r="682" spans="1:7" x14ac:dyDescent="0.2">
      <c r="A682" s="43"/>
      <c r="B682" s="43"/>
      <c r="C682" s="43"/>
      <c r="D682" s="43"/>
      <c r="E682" s="43"/>
      <c r="F682" s="43"/>
      <c r="G682" s="43"/>
    </row>
    <row r="683" spans="1:7" x14ac:dyDescent="0.2">
      <c r="A683" s="44"/>
      <c r="B683" s="44"/>
      <c r="C683" s="44"/>
      <c r="D683" s="44"/>
      <c r="E683" s="44"/>
      <c r="F683" s="44"/>
      <c r="G683" s="44"/>
    </row>
    <row r="684" spans="1:7" x14ac:dyDescent="0.2">
      <c r="A684" s="43"/>
      <c r="B684" s="43"/>
      <c r="C684" s="43"/>
      <c r="D684" s="43"/>
      <c r="E684" s="43"/>
      <c r="F684" s="43"/>
      <c r="G684" s="43"/>
    </row>
    <row r="685" spans="1:7" x14ac:dyDescent="0.2">
      <c r="A685" s="44"/>
      <c r="B685" s="44"/>
      <c r="C685" s="44"/>
      <c r="D685" s="44"/>
      <c r="E685" s="44"/>
      <c r="F685" s="44"/>
      <c r="G685" s="44"/>
    </row>
    <row r="686" spans="1:7" x14ac:dyDescent="0.2">
      <c r="A686" s="43"/>
      <c r="B686" s="43"/>
      <c r="C686" s="43"/>
      <c r="D686" s="43"/>
      <c r="E686" s="43"/>
      <c r="F686" s="43"/>
      <c r="G686" s="43"/>
    </row>
    <row r="687" spans="1:7" x14ac:dyDescent="0.2">
      <c r="A687" s="44"/>
      <c r="B687" s="44"/>
      <c r="C687" s="44"/>
      <c r="D687" s="44"/>
      <c r="E687" s="44"/>
      <c r="F687" s="44"/>
      <c r="G687" s="44"/>
    </row>
    <row r="688" spans="1:7" x14ac:dyDescent="0.2">
      <c r="A688" s="43"/>
      <c r="B688" s="43"/>
      <c r="C688" s="43"/>
      <c r="D688" s="43"/>
      <c r="E688" s="43"/>
      <c r="F688" s="43"/>
      <c r="G688" s="43"/>
    </row>
    <row r="689" spans="1:7" x14ac:dyDescent="0.2">
      <c r="A689" s="44"/>
      <c r="B689" s="44"/>
      <c r="C689" s="44"/>
      <c r="D689" s="44"/>
      <c r="E689" s="44"/>
      <c r="F689" s="44"/>
      <c r="G689" s="44"/>
    </row>
    <row r="690" spans="1:7" x14ac:dyDescent="0.2">
      <c r="A690" s="43"/>
      <c r="B690" s="43"/>
      <c r="C690" s="43"/>
      <c r="D690" s="43"/>
      <c r="E690" s="43"/>
      <c r="F690" s="43"/>
      <c r="G690" s="43"/>
    </row>
    <row r="691" spans="1:7" x14ac:dyDescent="0.2">
      <c r="A691" s="44"/>
      <c r="B691" s="44"/>
      <c r="C691" s="44"/>
      <c r="D691" s="44"/>
      <c r="E691" s="44"/>
      <c r="F691" s="44"/>
      <c r="G691" s="44"/>
    </row>
    <row r="692" spans="1:7" x14ac:dyDescent="0.2">
      <c r="A692" s="43"/>
      <c r="B692" s="43"/>
      <c r="C692" s="43"/>
      <c r="D692" s="43"/>
      <c r="E692" s="43"/>
      <c r="F692" s="43"/>
      <c r="G692" s="43"/>
    </row>
    <row r="693" spans="1:7" x14ac:dyDescent="0.2">
      <c r="A693" s="44"/>
      <c r="B693" s="44"/>
      <c r="C693" s="44"/>
      <c r="D693" s="44"/>
      <c r="E693" s="44"/>
      <c r="F693" s="44"/>
      <c r="G693" s="44"/>
    </row>
    <row r="694" spans="1:7" x14ac:dyDescent="0.2">
      <c r="A694" s="43"/>
      <c r="B694" s="43"/>
      <c r="C694" s="43"/>
      <c r="D694" s="43"/>
      <c r="E694" s="43"/>
      <c r="F694" s="43"/>
      <c r="G694" s="43"/>
    </row>
    <row r="695" spans="1:7" x14ac:dyDescent="0.2">
      <c r="A695" s="44"/>
      <c r="B695" s="44"/>
      <c r="C695" s="44"/>
      <c r="D695" s="44"/>
      <c r="E695" s="44"/>
      <c r="F695" s="44"/>
      <c r="G695" s="44"/>
    </row>
    <row r="696" spans="1:7" x14ac:dyDescent="0.2">
      <c r="A696" s="43"/>
      <c r="B696" s="43"/>
      <c r="C696" s="43"/>
      <c r="D696" s="43"/>
      <c r="E696" s="43"/>
      <c r="F696" s="43"/>
      <c r="G696" s="43"/>
    </row>
    <row r="697" spans="1:7" x14ac:dyDescent="0.2">
      <c r="A697" s="44"/>
      <c r="B697" s="44"/>
      <c r="C697" s="44"/>
      <c r="D697" s="44"/>
      <c r="E697" s="44"/>
      <c r="F697" s="44"/>
      <c r="G697" s="44"/>
    </row>
    <row r="698" spans="1:7" x14ac:dyDescent="0.2">
      <c r="A698" s="43"/>
      <c r="B698" s="43"/>
      <c r="C698" s="43"/>
      <c r="D698" s="43"/>
      <c r="E698" s="43"/>
      <c r="F698" s="43"/>
      <c r="G698" s="43"/>
    </row>
    <row r="699" spans="1:7" x14ac:dyDescent="0.2">
      <c r="A699" s="44"/>
      <c r="B699" s="44"/>
      <c r="C699" s="44"/>
      <c r="D699" s="44"/>
      <c r="E699" s="44"/>
      <c r="F699" s="44"/>
      <c r="G699" s="44"/>
    </row>
    <row r="700" spans="1:7" x14ac:dyDescent="0.2">
      <c r="A700" s="43"/>
      <c r="B700" s="43"/>
      <c r="C700" s="43"/>
      <c r="D700" s="43"/>
      <c r="E700" s="43"/>
      <c r="F700" s="43"/>
      <c r="G700" s="43"/>
    </row>
    <row r="701" spans="1:7" x14ac:dyDescent="0.2">
      <c r="A701" s="44"/>
      <c r="B701" s="44"/>
      <c r="C701" s="44"/>
      <c r="D701" s="44"/>
      <c r="E701" s="44"/>
      <c r="F701" s="44"/>
      <c r="G701" s="44"/>
    </row>
    <row r="702" spans="1:7" x14ac:dyDescent="0.2">
      <c r="A702" s="43"/>
      <c r="B702" s="43"/>
      <c r="C702" s="43"/>
      <c r="D702" s="43"/>
      <c r="E702" s="43"/>
      <c r="F702" s="43"/>
      <c r="G702" s="43"/>
    </row>
    <row r="703" spans="1:7" x14ac:dyDescent="0.2">
      <c r="A703" s="44"/>
      <c r="B703" s="44"/>
      <c r="C703" s="44"/>
      <c r="D703" s="44"/>
      <c r="E703" s="44"/>
      <c r="F703" s="44"/>
      <c r="G703" s="44"/>
    </row>
    <row r="704" spans="1:7" x14ac:dyDescent="0.2">
      <c r="A704" s="43"/>
      <c r="B704" s="43"/>
      <c r="C704" s="43"/>
      <c r="D704" s="43"/>
      <c r="E704" s="43"/>
      <c r="F704" s="43"/>
      <c r="G704" s="43"/>
    </row>
    <row r="705" spans="1:7" x14ac:dyDescent="0.2">
      <c r="A705" s="44"/>
      <c r="B705" s="44"/>
      <c r="C705" s="44"/>
      <c r="D705" s="44"/>
      <c r="E705" s="44"/>
      <c r="F705" s="44"/>
      <c r="G705" s="44"/>
    </row>
    <row r="706" spans="1:7" x14ac:dyDescent="0.2">
      <c r="A706" s="43"/>
      <c r="B706" s="43"/>
      <c r="C706" s="43"/>
      <c r="D706" s="43"/>
      <c r="E706" s="43"/>
      <c r="F706" s="43"/>
      <c r="G706" s="43"/>
    </row>
    <row r="707" spans="1:7" x14ac:dyDescent="0.2">
      <c r="A707" s="44"/>
      <c r="B707" s="44"/>
      <c r="C707" s="44"/>
      <c r="D707" s="44"/>
      <c r="E707" s="44"/>
      <c r="F707" s="44"/>
      <c r="G707" s="44"/>
    </row>
    <row r="708" spans="1:7" x14ac:dyDescent="0.2">
      <c r="A708" s="43"/>
      <c r="B708" s="43"/>
      <c r="C708" s="43"/>
      <c r="D708" s="43"/>
      <c r="E708" s="43"/>
      <c r="F708" s="43"/>
      <c r="G708" s="43"/>
    </row>
    <row r="709" spans="1:7" x14ac:dyDescent="0.2">
      <c r="A709" s="44"/>
      <c r="B709" s="44"/>
      <c r="C709" s="44"/>
      <c r="D709" s="44"/>
      <c r="E709" s="44"/>
      <c r="F709" s="44"/>
      <c r="G709" s="44"/>
    </row>
    <row r="710" spans="1:7" x14ac:dyDescent="0.2">
      <c r="A710" s="43"/>
      <c r="B710" s="43"/>
      <c r="C710" s="43"/>
      <c r="D710" s="43"/>
      <c r="E710" s="43"/>
      <c r="F710" s="43"/>
      <c r="G710" s="43"/>
    </row>
    <row r="711" spans="1:7" x14ac:dyDescent="0.2">
      <c r="A711" s="44"/>
      <c r="B711" s="44"/>
      <c r="C711" s="44"/>
      <c r="D711" s="44"/>
      <c r="E711" s="44"/>
      <c r="F711" s="44"/>
      <c r="G711" s="44"/>
    </row>
    <row r="712" spans="1:7" x14ac:dyDescent="0.2">
      <c r="A712" s="43"/>
      <c r="B712" s="43"/>
      <c r="C712" s="43"/>
      <c r="D712" s="43"/>
      <c r="E712" s="43"/>
      <c r="F712" s="43"/>
      <c r="G712" s="43"/>
    </row>
    <row r="713" spans="1:7" x14ac:dyDescent="0.2">
      <c r="A713" s="44"/>
      <c r="B713" s="44"/>
      <c r="C713" s="44"/>
      <c r="D713" s="44"/>
      <c r="E713" s="44"/>
      <c r="F713" s="44"/>
      <c r="G713" s="44"/>
    </row>
    <row r="714" spans="1:7" x14ac:dyDescent="0.2">
      <c r="A714" s="43"/>
      <c r="B714" s="43"/>
      <c r="C714" s="43"/>
      <c r="D714" s="43"/>
      <c r="E714" s="43"/>
      <c r="F714" s="43"/>
      <c r="G714" s="43"/>
    </row>
    <row r="715" spans="1:7" x14ac:dyDescent="0.2">
      <c r="A715" s="44"/>
      <c r="B715" s="44"/>
      <c r="C715" s="44"/>
      <c r="D715" s="44"/>
      <c r="E715" s="44"/>
      <c r="F715" s="44"/>
      <c r="G715" s="44"/>
    </row>
    <row r="716" spans="1:7" x14ac:dyDescent="0.2">
      <c r="A716" s="43"/>
      <c r="B716" s="43"/>
      <c r="C716" s="43"/>
      <c r="D716" s="43"/>
      <c r="E716" s="43"/>
      <c r="F716" s="43"/>
      <c r="G716" s="43"/>
    </row>
    <row r="717" spans="1:7" x14ac:dyDescent="0.2">
      <c r="A717" s="44"/>
      <c r="B717" s="44"/>
      <c r="C717" s="44"/>
      <c r="D717" s="44"/>
      <c r="E717" s="44"/>
      <c r="F717" s="44"/>
      <c r="G717" s="44"/>
    </row>
    <row r="718" spans="1:7" x14ac:dyDescent="0.2">
      <c r="A718" s="43"/>
      <c r="B718" s="43"/>
      <c r="C718" s="43"/>
      <c r="D718" s="43"/>
      <c r="E718" s="43"/>
      <c r="F718" s="43"/>
      <c r="G718" s="43"/>
    </row>
    <row r="719" spans="1:7" x14ac:dyDescent="0.2">
      <c r="A719" s="44"/>
      <c r="B719" s="44"/>
      <c r="C719" s="44"/>
      <c r="D719" s="44"/>
      <c r="E719" s="44"/>
      <c r="F719" s="44"/>
      <c r="G719" s="44"/>
    </row>
    <row r="720" spans="1:7" x14ac:dyDescent="0.2">
      <c r="A720" s="43"/>
      <c r="B720" s="43"/>
      <c r="C720" s="43"/>
      <c r="D720" s="43"/>
      <c r="E720" s="43"/>
      <c r="F720" s="43"/>
      <c r="G720" s="43"/>
    </row>
    <row r="721" spans="1:7" x14ac:dyDescent="0.2">
      <c r="A721" s="44"/>
      <c r="B721" s="44"/>
      <c r="C721" s="44"/>
      <c r="D721" s="44"/>
      <c r="E721" s="44"/>
      <c r="F721" s="44"/>
      <c r="G721" s="44"/>
    </row>
    <row r="722" spans="1:7" x14ac:dyDescent="0.2">
      <c r="A722" s="43"/>
      <c r="B722" s="43"/>
      <c r="C722" s="43"/>
      <c r="D722" s="43"/>
      <c r="E722" s="43"/>
      <c r="F722" s="43"/>
      <c r="G722" s="43"/>
    </row>
    <row r="723" spans="1:7" x14ac:dyDescent="0.2">
      <c r="A723" s="44"/>
      <c r="B723" s="44"/>
      <c r="C723" s="44"/>
      <c r="D723" s="44"/>
      <c r="E723" s="44"/>
      <c r="F723" s="44"/>
      <c r="G723" s="44"/>
    </row>
    <row r="724" spans="1:7" x14ac:dyDescent="0.2">
      <c r="A724" s="43"/>
      <c r="B724" s="43"/>
      <c r="C724" s="43"/>
      <c r="D724" s="43"/>
      <c r="E724" s="43"/>
      <c r="F724" s="43"/>
      <c r="G724" s="43"/>
    </row>
    <row r="725" spans="1:7" x14ac:dyDescent="0.2">
      <c r="A725" s="44"/>
      <c r="B725" s="44"/>
      <c r="C725" s="44"/>
      <c r="D725" s="44"/>
      <c r="E725" s="44"/>
      <c r="F725" s="44"/>
      <c r="G725" s="44"/>
    </row>
    <row r="726" spans="1:7" x14ac:dyDescent="0.2">
      <c r="A726" s="43"/>
      <c r="B726" s="43"/>
      <c r="C726" s="43"/>
      <c r="D726" s="43"/>
      <c r="E726" s="43"/>
      <c r="F726" s="43"/>
      <c r="G726" s="43"/>
    </row>
    <row r="727" spans="1:7" x14ac:dyDescent="0.2">
      <c r="A727" s="44"/>
      <c r="B727" s="44"/>
      <c r="C727" s="44"/>
      <c r="D727" s="44"/>
      <c r="E727" s="44"/>
      <c r="F727" s="44"/>
      <c r="G727" s="44"/>
    </row>
    <row r="728" spans="1:7" x14ac:dyDescent="0.2">
      <c r="A728" s="43"/>
      <c r="B728" s="43"/>
      <c r="C728" s="43"/>
      <c r="D728" s="43"/>
      <c r="E728" s="43"/>
      <c r="F728" s="43"/>
      <c r="G728" s="43"/>
    </row>
    <row r="729" spans="1:7" x14ac:dyDescent="0.2">
      <c r="A729" s="44"/>
      <c r="B729" s="44"/>
      <c r="C729" s="44"/>
      <c r="D729" s="44"/>
      <c r="E729" s="44"/>
      <c r="F729" s="44"/>
      <c r="G729" s="44"/>
    </row>
    <row r="730" spans="1:7" x14ac:dyDescent="0.2">
      <c r="A730" s="43"/>
      <c r="B730" s="43"/>
      <c r="C730" s="43"/>
      <c r="D730" s="43"/>
      <c r="E730" s="43"/>
      <c r="F730" s="43"/>
      <c r="G730" s="43"/>
    </row>
    <row r="731" spans="1:7" x14ac:dyDescent="0.2">
      <c r="A731" s="44"/>
      <c r="B731" s="44"/>
      <c r="C731" s="44"/>
      <c r="D731" s="44"/>
      <c r="E731" s="44"/>
      <c r="F731" s="44"/>
      <c r="G731" s="44"/>
    </row>
    <row r="732" spans="1:7" x14ac:dyDescent="0.2">
      <c r="A732" s="43"/>
      <c r="B732" s="43"/>
      <c r="C732" s="43"/>
      <c r="D732" s="43"/>
      <c r="E732" s="43"/>
      <c r="F732" s="43"/>
      <c r="G732" s="43"/>
    </row>
    <row r="733" spans="1:7" x14ac:dyDescent="0.2">
      <c r="A733" s="44"/>
      <c r="B733" s="44"/>
      <c r="C733" s="44"/>
      <c r="D733" s="44"/>
      <c r="E733" s="44"/>
      <c r="F733" s="44"/>
      <c r="G733" s="44"/>
    </row>
    <row r="734" spans="1:7" x14ac:dyDescent="0.2">
      <c r="A734" s="43"/>
      <c r="B734" s="43"/>
      <c r="C734" s="43"/>
      <c r="D734" s="43"/>
      <c r="E734" s="43"/>
      <c r="F734" s="43"/>
      <c r="G734" s="43"/>
    </row>
    <row r="735" spans="1:7" x14ac:dyDescent="0.2">
      <c r="A735" s="44"/>
      <c r="B735" s="44"/>
      <c r="C735" s="44"/>
      <c r="D735" s="44"/>
      <c r="E735" s="44"/>
      <c r="F735" s="44"/>
      <c r="G735" s="44"/>
    </row>
    <row r="736" spans="1:7" x14ac:dyDescent="0.2">
      <c r="A736" s="43"/>
      <c r="B736" s="43"/>
      <c r="C736" s="43"/>
      <c r="D736" s="43"/>
      <c r="E736" s="43"/>
      <c r="F736" s="43"/>
      <c r="G736" s="43"/>
    </row>
    <row r="737" spans="1:7" x14ac:dyDescent="0.2">
      <c r="A737" s="44"/>
      <c r="B737" s="44"/>
      <c r="C737" s="44"/>
      <c r="D737" s="44"/>
      <c r="E737" s="44"/>
      <c r="F737" s="44"/>
      <c r="G737" s="44"/>
    </row>
    <row r="738" spans="1:7" x14ac:dyDescent="0.2">
      <c r="A738" s="43"/>
      <c r="B738" s="43"/>
      <c r="C738" s="43"/>
      <c r="D738" s="43"/>
      <c r="E738" s="43"/>
      <c r="F738" s="43"/>
      <c r="G738" s="43"/>
    </row>
    <row r="739" spans="1:7" x14ac:dyDescent="0.2">
      <c r="A739" s="44"/>
      <c r="B739" s="44"/>
      <c r="C739" s="44"/>
      <c r="D739" s="44"/>
      <c r="E739" s="44"/>
      <c r="F739" s="44"/>
      <c r="G739" s="44"/>
    </row>
    <row r="740" spans="1:7" x14ac:dyDescent="0.2">
      <c r="A740" s="43"/>
      <c r="B740" s="43"/>
      <c r="C740" s="43"/>
      <c r="D740" s="43"/>
      <c r="E740" s="43"/>
      <c r="F740" s="43"/>
      <c r="G740" s="43"/>
    </row>
    <row r="741" spans="1:7" x14ac:dyDescent="0.2">
      <c r="A741" s="44"/>
      <c r="B741" s="44"/>
      <c r="C741" s="44"/>
      <c r="D741" s="44"/>
      <c r="E741" s="44"/>
      <c r="F741" s="44"/>
      <c r="G741" s="44"/>
    </row>
    <row r="742" spans="1:7" x14ac:dyDescent="0.2">
      <c r="A742" s="43"/>
      <c r="B742" s="43"/>
      <c r="C742" s="43"/>
      <c r="D742" s="43"/>
      <c r="E742" s="43"/>
      <c r="F742" s="43"/>
      <c r="G742" s="43"/>
    </row>
    <row r="743" spans="1:7" x14ac:dyDescent="0.2">
      <c r="A743" s="44"/>
      <c r="B743" s="44"/>
      <c r="C743" s="44"/>
      <c r="D743" s="44"/>
      <c r="E743" s="44"/>
      <c r="F743" s="44"/>
      <c r="G743" s="44"/>
    </row>
    <row r="744" spans="1:7" x14ac:dyDescent="0.2">
      <c r="A744" s="43"/>
      <c r="B744" s="43"/>
      <c r="C744" s="43"/>
      <c r="D744" s="43"/>
      <c r="E744" s="43"/>
      <c r="F744" s="43"/>
      <c r="G744" s="43"/>
    </row>
    <row r="745" spans="1:7" x14ac:dyDescent="0.2">
      <c r="A745" s="44"/>
      <c r="B745" s="44"/>
      <c r="C745" s="44"/>
      <c r="D745" s="44"/>
      <c r="E745" s="44"/>
      <c r="F745" s="44"/>
      <c r="G745" s="44"/>
    </row>
    <row r="746" spans="1:7" x14ac:dyDescent="0.2">
      <c r="A746" s="43"/>
      <c r="B746" s="43"/>
      <c r="C746" s="43"/>
      <c r="D746" s="43"/>
      <c r="E746" s="43"/>
      <c r="F746" s="43"/>
      <c r="G746" s="43"/>
    </row>
    <row r="747" spans="1:7" x14ac:dyDescent="0.2">
      <c r="A747" s="44"/>
      <c r="B747" s="44"/>
      <c r="C747" s="44"/>
      <c r="D747" s="44"/>
      <c r="E747" s="44"/>
      <c r="F747" s="44"/>
      <c r="G747" s="44"/>
    </row>
    <row r="748" spans="1:7" x14ac:dyDescent="0.2">
      <c r="A748" s="43"/>
      <c r="B748" s="43"/>
      <c r="C748" s="43"/>
      <c r="D748" s="43"/>
      <c r="E748" s="43"/>
      <c r="F748" s="43"/>
      <c r="G748" s="43"/>
    </row>
    <row r="749" spans="1:7" x14ac:dyDescent="0.2">
      <c r="A749" s="44"/>
      <c r="B749" s="44"/>
      <c r="C749" s="44"/>
      <c r="D749" s="44"/>
      <c r="E749" s="44"/>
      <c r="F749" s="44"/>
      <c r="G749" s="44"/>
    </row>
    <row r="750" spans="1:7" x14ac:dyDescent="0.2">
      <c r="A750" s="43"/>
      <c r="B750" s="43"/>
      <c r="C750" s="43"/>
      <c r="D750" s="43"/>
      <c r="E750" s="43"/>
      <c r="F750" s="43"/>
      <c r="G750" s="43"/>
    </row>
    <row r="751" spans="1:7" x14ac:dyDescent="0.2">
      <c r="A751" s="44"/>
      <c r="B751" s="44"/>
      <c r="C751" s="44"/>
      <c r="D751" s="44"/>
      <c r="E751" s="44"/>
      <c r="F751" s="44"/>
      <c r="G751" s="44"/>
    </row>
    <row r="752" spans="1:7" x14ac:dyDescent="0.2">
      <c r="A752" s="43"/>
      <c r="B752" s="43"/>
      <c r="C752" s="43"/>
      <c r="D752" s="43"/>
      <c r="E752" s="43"/>
      <c r="F752" s="43"/>
      <c r="G752" s="43"/>
    </row>
    <row r="753" spans="1:7" x14ac:dyDescent="0.2">
      <c r="A753" s="44"/>
      <c r="B753" s="44"/>
      <c r="C753" s="44"/>
      <c r="D753" s="44"/>
      <c r="E753" s="44"/>
      <c r="F753" s="44"/>
      <c r="G753" s="44"/>
    </row>
    <row r="754" spans="1:7" x14ac:dyDescent="0.2">
      <c r="A754" s="43"/>
      <c r="B754" s="43"/>
      <c r="C754" s="43"/>
      <c r="D754" s="43"/>
      <c r="E754" s="43"/>
      <c r="F754" s="43"/>
      <c r="G754" s="43"/>
    </row>
    <row r="755" spans="1:7" x14ac:dyDescent="0.2">
      <c r="A755" s="44"/>
      <c r="B755" s="44"/>
      <c r="C755" s="44"/>
      <c r="D755" s="44"/>
      <c r="E755" s="44"/>
      <c r="F755" s="44"/>
      <c r="G755" s="44"/>
    </row>
    <row r="756" spans="1:7" x14ac:dyDescent="0.2">
      <c r="A756" s="43"/>
      <c r="B756" s="43"/>
      <c r="C756" s="43"/>
      <c r="D756" s="43"/>
      <c r="E756" s="43"/>
      <c r="F756" s="43"/>
      <c r="G756" s="43"/>
    </row>
    <row r="757" spans="1:7" x14ac:dyDescent="0.2">
      <c r="A757" s="44"/>
      <c r="B757" s="44"/>
      <c r="C757" s="44"/>
      <c r="D757" s="44"/>
      <c r="E757" s="44"/>
      <c r="F757" s="44"/>
      <c r="G757" s="44"/>
    </row>
    <row r="758" spans="1:7" x14ac:dyDescent="0.2">
      <c r="A758" s="43"/>
      <c r="B758" s="43"/>
      <c r="C758" s="43"/>
      <c r="D758" s="43"/>
      <c r="E758" s="43"/>
      <c r="F758" s="43"/>
      <c r="G758" s="43"/>
    </row>
    <row r="759" spans="1:7" x14ac:dyDescent="0.2">
      <c r="A759" s="44"/>
      <c r="B759" s="44"/>
      <c r="C759" s="44"/>
      <c r="D759" s="44"/>
      <c r="E759" s="44"/>
      <c r="F759" s="44"/>
      <c r="G759" s="44"/>
    </row>
    <row r="760" spans="1:7" x14ac:dyDescent="0.2">
      <c r="A760" s="43"/>
      <c r="B760" s="43"/>
      <c r="C760" s="43"/>
      <c r="D760" s="43"/>
      <c r="E760" s="43"/>
      <c r="F760" s="43"/>
      <c r="G760" s="43"/>
    </row>
    <row r="761" spans="1:7" x14ac:dyDescent="0.2">
      <c r="A761" s="44"/>
      <c r="B761" s="44"/>
      <c r="C761" s="44"/>
      <c r="D761" s="44"/>
      <c r="E761" s="44"/>
      <c r="F761" s="44"/>
      <c r="G761" s="44"/>
    </row>
    <row r="762" spans="1:7" x14ac:dyDescent="0.2">
      <c r="A762" s="43"/>
      <c r="B762" s="43"/>
      <c r="C762" s="43"/>
      <c r="D762" s="43"/>
      <c r="E762" s="43"/>
      <c r="F762" s="43"/>
      <c r="G762" s="43"/>
    </row>
    <row r="763" spans="1:7" x14ac:dyDescent="0.2">
      <c r="A763" s="44"/>
      <c r="B763" s="44"/>
      <c r="C763" s="44"/>
      <c r="D763" s="44"/>
      <c r="E763" s="44"/>
      <c r="F763" s="44"/>
      <c r="G763" s="44"/>
    </row>
    <row r="764" spans="1:7" x14ac:dyDescent="0.2">
      <c r="A764" s="43"/>
      <c r="B764" s="43"/>
      <c r="C764" s="43"/>
      <c r="D764" s="43"/>
      <c r="E764" s="43"/>
      <c r="F764" s="43"/>
      <c r="G764" s="43"/>
    </row>
    <row r="765" spans="1:7" x14ac:dyDescent="0.2">
      <c r="A765" s="44"/>
      <c r="B765" s="44"/>
      <c r="C765" s="44"/>
      <c r="D765" s="44"/>
      <c r="E765" s="44"/>
      <c r="F765" s="44"/>
      <c r="G765" s="44"/>
    </row>
    <row r="766" spans="1:7" x14ac:dyDescent="0.2">
      <c r="A766" s="43"/>
      <c r="B766" s="43"/>
      <c r="C766" s="43"/>
      <c r="D766" s="43"/>
      <c r="E766" s="43"/>
      <c r="F766" s="43"/>
      <c r="G766" s="43"/>
    </row>
    <row r="767" spans="1:7" x14ac:dyDescent="0.2">
      <c r="A767" s="44"/>
      <c r="B767" s="44"/>
      <c r="C767" s="44"/>
      <c r="D767" s="44"/>
      <c r="E767" s="44"/>
      <c r="F767" s="44"/>
      <c r="G767" s="44"/>
    </row>
    <row r="768" spans="1:7" x14ac:dyDescent="0.2">
      <c r="A768" s="43"/>
      <c r="B768" s="43"/>
      <c r="C768" s="43"/>
      <c r="D768" s="43"/>
      <c r="E768" s="43"/>
      <c r="F768" s="43"/>
      <c r="G768" s="43"/>
    </row>
    <row r="769" spans="1:7" x14ac:dyDescent="0.2">
      <c r="A769" s="44"/>
      <c r="B769" s="44"/>
      <c r="C769" s="44"/>
      <c r="D769" s="44"/>
      <c r="E769" s="44"/>
      <c r="F769" s="44"/>
      <c r="G769" s="44"/>
    </row>
    <row r="770" spans="1:7" x14ac:dyDescent="0.2">
      <c r="A770" s="43"/>
      <c r="B770" s="43"/>
      <c r="C770" s="43"/>
      <c r="D770" s="43"/>
      <c r="E770" s="43"/>
      <c r="F770" s="43"/>
      <c r="G770" s="43"/>
    </row>
    <row r="771" spans="1:7" x14ac:dyDescent="0.2">
      <c r="A771" s="44"/>
      <c r="B771" s="44"/>
      <c r="C771" s="44"/>
      <c r="D771" s="44"/>
      <c r="E771" s="44"/>
      <c r="F771" s="44"/>
      <c r="G771" s="44"/>
    </row>
    <row r="772" spans="1:7" x14ac:dyDescent="0.2">
      <c r="A772" s="43"/>
      <c r="B772" s="43"/>
      <c r="C772" s="43"/>
      <c r="D772" s="43"/>
      <c r="E772" s="43"/>
      <c r="F772" s="43"/>
      <c r="G772" s="43"/>
    </row>
    <row r="773" spans="1:7" x14ac:dyDescent="0.2">
      <c r="A773" s="44"/>
      <c r="B773" s="44"/>
      <c r="C773" s="44"/>
      <c r="D773" s="44"/>
      <c r="E773" s="44"/>
      <c r="F773" s="44"/>
      <c r="G773" s="44"/>
    </row>
    <row r="774" spans="1:7" x14ac:dyDescent="0.2">
      <c r="A774" s="43"/>
      <c r="B774" s="43"/>
      <c r="C774" s="43"/>
      <c r="D774" s="43"/>
      <c r="E774" s="43"/>
      <c r="F774" s="43"/>
      <c r="G774" s="43"/>
    </row>
    <row r="775" spans="1:7" x14ac:dyDescent="0.2">
      <c r="A775" s="44"/>
      <c r="B775" s="44"/>
      <c r="C775" s="44"/>
      <c r="D775" s="44"/>
      <c r="E775" s="44"/>
      <c r="F775" s="44"/>
      <c r="G775" s="44"/>
    </row>
    <row r="776" spans="1:7" x14ac:dyDescent="0.2">
      <c r="A776" s="43"/>
      <c r="B776" s="43"/>
      <c r="C776" s="43"/>
      <c r="D776" s="43"/>
      <c r="E776" s="43"/>
      <c r="F776" s="43"/>
      <c r="G776" s="43"/>
    </row>
    <row r="777" spans="1:7" x14ac:dyDescent="0.2">
      <c r="A777" s="44"/>
      <c r="B777" s="44"/>
      <c r="C777" s="44"/>
      <c r="D777" s="44"/>
      <c r="E777" s="44"/>
      <c r="F777" s="44"/>
      <c r="G777" s="44"/>
    </row>
    <row r="778" spans="1:7" x14ac:dyDescent="0.2">
      <c r="A778" s="43"/>
      <c r="B778" s="43"/>
      <c r="C778" s="43"/>
      <c r="D778" s="43"/>
      <c r="E778" s="43"/>
      <c r="F778" s="43"/>
      <c r="G778" s="43"/>
    </row>
    <row r="779" spans="1:7" x14ac:dyDescent="0.2">
      <c r="A779" s="44"/>
      <c r="B779" s="44"/>
      <c r="C779" s="44"/>
      <c r="D779" s="44"/>
      <c r="E779" s="44"/>
      <c r="F779" s="44"/>
      <c r="G779" s="44"/>
    </row>
    <row r="780" spans="1:7" x14ac:dyDescent="0.2">
      <c r="A780" s="43"/>
      <c r="B780" s="43"/>
      <c r="C780" s="43"/>
      <c r="D780" s="43"/>
      <c r="E780" s="43"/>
      <c r="F780" s="43"/>
      <c r="G780" s="43"/>
    </row>
    <row r="781" spans="1:7" x14ac:dyDescent="0.2">
      <c r="A781" s="44"/>
      <c r="B781" s="44"/>
      <c r="C781" s="44"/>
      <c r="D781" s="44"/>
      <c r="E781" s="44"/>
      <c r="F781" s="44"/>
      <c r="G781" s="44"/>
    </row>
    <row r="782" spans="1:7" x14ac:dyDescent="0.2">
      <c r="A782" s="43"/>
      <c r="B782" s="43"/>
      <c r="C782" s="43"/>
      <c r="D782" s="43"/>
      <c r="E782" s="43"/>
      <c r="F782" s="43"/>
      <c r="G782" s="43"/>
    </row>
    <row r="783" spans="1:7" x14ac:dyDescent="0.2">
      <c r="A783" s="44"/>
      <c r="B783" s="44"/>
      <c r="C783" s="44"/>
      <c r="D783" s="44"/>
      <c r="E783" s="44"/>
      <c r="F783" s="44"/>
      <c r="G783" s="44"/>
    </row>
    <row r="784" spans="1:7" x14ac:dyDescent="0.2">
      <c r="A784" s="43"/>
      <c r="B784" s="43"/>
      <c r="C784" s="43"/>
      <c r="D784" s="43"/>
      <c r="E784" s="43"/>
      <c r="F784" s="43"/>
      <c r="G784" s="43"/>
    </row>
    <row r="785" spans="1:7" x14ac:dyDescent="0.2">
      <c r="A785" s="44"/>
      <c r="B785" s="44"/>
      <c r="C785" s="44"/>
      <c r="D785" s="44"/>
      <c r="E785" s="44"/>
      <c r="F785" s="44"/>
      <c r="G785" s="44"/>
    </row>
    <row r="786" spans="1:7" x14ac:dyDescent="0.2">
      <c r="A786" s="43"/>
      <c r="B786" s="43"/>
      <c r="C786" s="43"/>
      <c r="D786" s="43"/>
      <c r="E786" s="43"/>
      <c r="F786" s="43"/>
      <c r="G786" s="43"/>
    </row>
    <row r="787" spans="1:7" x14ac:dyDescent="0.2">
      <c r="A787" s="44"/>
      <c r="B787" s="44"/>
      <c r="C787" s="44"/>
      <c r="D787" s="44"/>
      <c r="E787" s="44"/>
      <c r="F787" s="44"/>
      <c r="G787" s="44"/>
    </row>
    <row r="788" spans="1:7" x14ac:dyDescent="0.2">
      <c r="A788" s="43"/>
      <c r="B788" s="43"/>
      <c r="C788" s="43"/>
      <c r="D788" s="43"/>
      <c r="E788" s="43"/>
      <c r="F788" s="43"/>
      <c r="G788" s="43"/>
    </row>
    <row r="789" spans="1:7" x14ac:dyDescent="0.2">
      <c r="A789" s="44"/>
      <c r="B789" s="44"/>
      <c r="C789" s="44"/>
      <c r="D789" s="44"/>
      <c r="E789" s="44"/>
      <c r="F789" s="44"/>
      <c r="G789" s="44"/>
    </row>
    <row r="790" spans="1:7" x14ac:dyDescent="0.2">
      <c r="A790" s="43"/>
      <c r="B790" s="43"/>
      <c r="C790" s="43"/>
      <c r="D790" s="43"/>
      <c r="E790" s="43"/>
      <c r="F790" s="43"/>
      <c r="G790" s="43"/>
    </row>
    <row r="791" spans="1:7" x14ac:dyDescent="0.2">
      <c r="A791" s="44"/>
      <c r="B791" s="44"/>
      <c r="C791" s="44"/>
      <c r="D791" s="44"/>
      <c r="E791" s="44"/>
      <c r="F791" s="44"/>
      <c r="G791" s="44"/>
    </row>
    <row r="792" spans="1:7" x14ac:dyDescent="0.2">
      <c r="A792" s="43"/>
      <c r="B792" s="43"/>
      <c r="C792" s="43"/>
      <c r="D792" s="43"/>
      <c r="E792" s="43"/>
      <c r="F792" s="43"/>
      <c r="G792" s="43"/>
    </row>
    <row r="793" spans="1:7" x14ac:dyDescent="0.2">
      <c r="A793" s="44"/>
      <c r="B793" s="44"/>
      <c r="C793" s="44"/>
      <c r="D793" s="44"/>
      <c r="E793" s="44"/>
      <c r="F793" s="44"/>
      <c r="G793" s="44"/>
    </row>
    <row r="794" spans="1:7" x14ac:dyDescent="0.2">
      <c r="A794" s="43"/>
      <c r="B794" s="43"/>
      <c r="C794" s="43"/>
      <c r="D794" s="43"/>
      <c r="E794" s="43"/>
      <c r="F794" s="43"/>
      <c r="G794" s="43"/>
    </row>
    <row r="795" spans="1:7" x14ac:dyDescent="0.2">
      <c r="A795" s="44"/>
      <c r="B795" s="44"/>
      <c r="C795" s="44"/>
      <c r="D795" s="44"/>
      <c r="E795" s="44"/>
      <c r="F795" s="44"/>
      <c r="G795" s="44"/>
    </row>
    <row r="796" spans="1:7" x14ac:dyDescent="0.2">
      <c r="A796" s="43"/>
      <c r="B796" s="43"/>
      <c r="C796" s="43"/>
      <c r="D796" s="43"/>
      <c r="E796" s="43"/>
      <c r="F796" s="43"/>
      <c r="G796" s="43"/>
    </row>
    <row r="797" spans="1:7" x14ac:dyDescent="0.2">
      <c r="A797" s="44"/>
      <c r="B797" s="44"/>
      <c r="C797" s="44"/>
      <c r="D797" s="44"/>
      <c r="E797" s="44"/>
      <c r="F797" s="44"/>
      <c r="G797" s="44"/>
    </row>
    <row r="798" spans="1:7" x14ac:dyDescent="0.2">
      <c r="A798" s="43"/>
      <c r="B798" s="43"/>
      <c r="C798" s="43"/>
      <c r="D798" s="43"/>
      <c r="E798" s="43"/>
      <c r="F798" s="43"/>
      <c r="G798" s="43"/>
    </row>
    <row r="799" spans="1:7" x14ac:dyDescent="0.2">
      <c r="A799" s="44"/>
      <c r="B799" s="44"/>
      <c r="C799" s="44"/>
      <c r="D799" s="44"/>
      <c r="E799" s="44"/>
      <c r="F799" s="44"/>
      <c r="G799" s="44"/>
    </row>
    <row r="800" spans="1:7" x14ac:dyDescent="0.2">
      <c r="A800" s="43"/>
      <c r="B800" s="43"/>
      <c r="C800" s="43"/>
      <c r="D800" s="43"/>
      <c r="E800" s="43"/>
      <c r="F800" s="43"/>
      <c r="G800" s="43"/>
    </row>
    <row r="801" spans="1:7" x14ac:dyDescent="0.2">
      <c r="A801" s="44"/>
      <c r="B801" s="44"/>
      <c r="C801" s="44"/>
      <c r="D801" s="44"/>
      <c r="E801" s="44"/>
      <c r="F801" s="44"/>
      <c r="G801" s="44"/>
    </row>
    <row r="802" spans="1:7" x14ac:dyDescent="0.2">
      <c r="A802" s="43"/>
      <c r="B802" s="43"/>
      <c r="C802" s="43"/>
      <c r="D802" s="43"/>
      <c r="E802" s="43"/>
      <c r="F802" s="43"/>
      <c r="G802" s="43"/>
    </row>
    <row r="803" spans="1:7" x14ac:dyDescent="0.2">
      <c r="A803" s="44"/>
      <c r="B803" s="44"/>
      <c r="C803" s="44"/>
      <c r="D803" s="44"/>
      <c r="E803" s="44"/>
      <c r="F803" s="44"/>
      <c r="G803" s="44"/>
    </row>
    <row r="804" spans="1:7" x14ac:dyDescent="0.2">
      <c r="A804" s="43"/>
      <c r="B804" s="43"/>
      <c r="C804" s="43"/>
      <c r="D804" s="43"/>
      <c r="E804" s="43"/>
      <c r="F804" s="43"/>
      <c r="G804" s="43"/>
    </row>
    <row r="805" spans="1:7" x14ac:dyDescent="0.2">
      <c r="A805" s="44"/>
      <c r="B805" s="44"/>
      <c r="C805" s="44"/>
      <c r="D805" s="44"/>
      <c r="E805" s="44"/>
      <c r="F805" s="44"/>
      <c r="G805" s="44"/>
    </row>
    <row r="806" spans="1:7" x14ac:dyDescent="0.2">
      <c r="A806" s="43"/>
      <c r="B806" s="43"/>
      <c r="C806" s="43"/>
      <c r="D806" s="43"/>
      <c r="E806" s="43"/>
      <c r="F806" s="43"/>
      <c r="G806" s="43"/>
    </row>
    <row r="807" spans="1:7" x14ac:dyDescent="0.2">
      <c r="A807" s="44"/>
      <c r="B807" s="44"/>
      <c r="C807" s="44"/>
      <c r="D807" s="44"/>
      <c r="E807" s="44"/>
      <c r="F807" s="44"/>
      <c r="G807" s="44"/>
    </row>
    <row r="808" spans="1:7" x14ac:dyDescent="0.2">
      <c r="A808" s="43"/>
      <c r="B808" s="43"/>
      <c r="C808" s="43"/>
      <c r="D808" s="43"/>
      <c r="E808" s="43"/>
      <c r="F808" s="43"/>
      <c r="G808" s="43"/>
    </row>
    <row r="809" spans="1:7" x14ac:dyDescent="0.2">
      <c r="A809" s="44"/>
      <c r="B809" s="44"/>
      <c r="C809" s="44"/>
      <c r="D809" s="44"/>
      <c r="E809" s="44"/>
      <c r="F809" s="44"/>
      <c r="G809" s="44"/>
    </row>
    <row r="810" spans="1:7" x14ac:dyDescent="0.2">
      <c r="A810" s="43"/>
      <c r="B810" s="43"/>
      <c r="C810" s="43"/>
      <c r="D810" s="43"/>
      <c r="E810" s="43"/>
      <c r="F810" s="43"/>
      <c r="G810" s="43"/>
    </row>
    <row r="811" spans="1:7" x14ac:dyDescent="0.2">
      <c r="A811" s="44"/>
      <c r="B811" s="44"/>
      <c r="C811" s="44"/>
      <c r="D811" s="44"/>
      <c r="E811" s="44"/>
      <c r="F811" s="44"/>
      <c r="G811" s="44"/>
    </row>
    <row r="812" spans="1:7" x14ac:dyDescent="0.2">
      <c r="A812" s="43"/>
      <c r="B812" s="43"/>
      <c r="C812" s="43"/>
      <c r="D812" s="43"/>
      <c r="E812" s="43"/>
      <c r="F812" s="43"/>
      <c r="G812" s="43"/>
    </row>
    <row r="813" spans="1:7" x14ac:dyDescent="0.2">
      <c r="A813" s="44"/>
      <c r="B813" s="44"/>
      <c r="C813" s="44"/>
      <c r="D813" s="44"/>
      <c r="E813" s="44"/>
      <c r="F813" s="44"/>
      <c r="G813" s="44"/>
    </row>
    <row r="814" spans="1:7" x14ac:dyDescent="0.2">
      <c r="A814" s="43"/>
      <c r="B814" s="43"/>
      <c r="C814" s="43"/>
      <c r="D814" s="43"/>
      <c r="E814" s="43"/>
      <c r="F814" s="43"/>
      <c r="G814" s="43"/>
    </row>
    <row r="815" spans="1:7" x14ac:dyDescent="0.2">
      <c r="A815" s="44"/>
      <c r="B815" s="44"/>
      <c r="C815" s="44"/>
      <c r="D815" s="44"/>
      <c r="E815" s="44"/>
      <c r="F815" s="44"/>
      <c r="G815" s="44"/>
    </row>
    <row r="816" spans="1:7" x14ac:dyDescent="0.2">
      <c r="A816" s="43"/>
      <c r="B816" s="43"/>
      <c r="C816" s="43"/>
      <c r="D816" s="43"/>
      <c r="E816" s="43"/>
      <c r="F816" s="43"/>
      <c r="G816" s="43"/>
    </row>
    <row r="817" spans="1:7" x14ac:dyDescent="0.2">
      <c r="A817" s="44"/>
      <c r="B817" s="44"/>
      <c r="C817" s="44"/>
      <c r="D817" s="44"/>
      <c r="E817" s="44"/>
      <c r="F817" s="44"/>
      <c r="G817" s="44"/>
    </row>
    <row r="818" spans="1:7" x14ac:dyDescent="0.2">
      <c r="A818" s="43"/>
      <c r="B818" s="43"/>
      <c r="C818" s="43"/>
      <c r="D818" s="43"/>
      <c r="E818" s="43"/>
      <c r="F818" s="43"/>
      <c r="G818" s="43"/>
    </row>
    <row r="819" spans="1:7" x14ac:dyDescent="0.2">
      <c r="A819" s="44"/>
      <c r="B819" s="44"/>
      <c r="C819" s="44"/>
      <c r="D819" s="44"/>
      <c r="E819" s="44"/>
      <c r="F819" s="44"/>
      <c r="G819" s="44"/>
    </row>
    <row r="820" spans="1:7" x14ac:dyDescent="0.2">
      <c r="A820" s="43"/>
      <c r="B820" s="43"/>
      <c r="C820" s="43"/>
      <c r="D820" s="43"/>
      <c r="E820" s="43"/>
      <c r="F820" s="43"/>
      <c r="G820" s="43"/>
    </row>
    <row r="821" spans="1:7" x14ac:dyDescent="0.2">
      <c r="A821" s="44"/>
      <c r="B821" s="44"/>
      <c r="C821" s="44"/>
      <c r="D821" s="44"/>
      <c r="E821" s="44"/>
      <c r="F821" s="44"/>
      <c r="G821" s="44"/>
    </row>
    <row r="822" spans="1:7" x14ac:dyDescent="0.2">
      <c r="A822" s="43"/>
      <c r="B822" s="43"/>
      <c r="C822" s="43"/>
      <c r="D822" s="43"/>
      <c r="E822" s="43"/>
      <c r="F822" s="43"/>
      <c r="G822" s="43"/>
    </row>
    <row r="823" spans="1:7" x14ac:dyDescent="0.2">
      <c r="A823" s="44"/>
      <c r="B823" s="44"/>
      <c r="C823" s="44"/>
      <c r="D823" s="44"/>
      <c r="E823" s="44"/>
      <c r="F823" s="44"/>
      <c r="G823" s="44"/>
    </row>
    <row r="824" spans="1:7" x14ac:dyDescent="0.2">
      <c r="A824" s="43"/>
      <c r="B824" s="43"/>
      <c r="C824" s="43"/>
      <c r="D824" s="43"/>
      <c r="E824" s="43"/>
      <c r="F824" s="43"/>
      <c r="G824" s="43"/>
    </row>
    <row r="825" spans="1:7" x14ac:dyDescent="0.2">
      <c r="A825" s="44"/>
      <c r="B825" s="44"/>
      <c r="C825" s="44"/>
      <c r="D825" s="44"/>
      <c r="E825" s="44"/>
      <c r="F825" s="44"/>
      <c r="G825" s="44"/>
    </row>
    <row r="826" spans="1:7" x14ac:dyDescent="0.2">
      <c r="A826" s="43"/>
      <c r="B826" s="43"/>
      <c r="C826" s="43"/>
      <c r="D826" s="43"/>
      <c r="E826" s="43"/>
      <c r="F826" s="43"/>
      <c r="G826" s="43"/>
    </row>
    <row r="827" spans="1:7" x14ac:dyDescent="0.2">
      <c r="A827" s="44"/>
      <c r="B827" s="44"/>
      <c r="C827" s="44"/>
      <c r="D827" s="44"/>
      <c r="E827" s="44"/>
      <c r="F827" s="44"/>
      <c r="G827" s="44"/>
    </row>
    <row r="828" spans="1:7" x14ac:dyDescent="0.2">
      <c r="A828" s="43"/>
      <c r="B828" s="43"/>
      <c r="C828" s="43"/>
      <c r="D828" s="43"/>
      <c r="E828" s="43"/>
      <c r="F828" s="43"/>
      <c r="G828" s="43"/>
    </row>
    <row r="829" spans="1:7" x14ac:dyDescent="0.2">
      <c r="A829" s="44"/>
      <c r="B829" s="44"/>
      <c r="C829" s="44"/>
      <c r="D829" s="44"/>
      <c r="E829" s="44"/>
      <c r="F829" s="44"/>
      <c r="G829" s="44"/>
    </row>
    <row r="830" spans="1:7" x14ac:dyDescent="0.2">
      <c r="A830" s="43"/>
      <c r="B830" s="43"/>
      <c r="C830" s="43"/>
      <c r="D830" s="43"/>
      <c r="E830" s="43"/>
      <c r="F830" s="43"/>
      <c r="G830" s="43"/>
    </row>
    <row r="831" spans="1:7" x14ac:dyDescent="0.2">
      <c r="A831" s="44"/>
      <c r="B831" s="44"/>
      <c r="C831" s="44"/>
      <c r="D831" s="44"/>
      <c r="E831" s="44"/>
      <c r="F831" s="44"/>
      <c r="G831" s="44"/>
    </row>
    <row r="832" spans="1:7" x14ac:dyDescent="0.2">
      <c r="A832" s="43"/>
      <c r="B832" s="43"/>
      <c r="C832" s="43"/>
      <c r="D832" s="43"/>
      <c r="E832" s="43"/>
      <c r="F832" s="43"/>
      <c r="G832" s="43"/>
    </row>
    <row r="833" spans="1:7" x14ac:dyDescent="0.2">
      <c r="A833" s="44"/>
      <c r="B833" s="44"/>
      <c r="C833" s="44"/>
      <c r="D833" s="44"/>
      <c r="E833" s="44"/>
      <c r="F833" s="44"/>
      <c r="G833" s="44"/>
    </row>
    <row r="834" spans="1:7" x14ac:dyDescent="0.2">
      <c r="A834" s="43"/>
      <c r="B834" s="43"/>
      <c r="C834" s="43"/>
      <c r="D834" s="43"/>
      <c r="E834" s="43"/>
      <c r="F834" s="43"/>
      <c r="G834" s="43"/>
    </row>
    <row r="835" spans="1:7" x14ac:dyDescent="0.2">
      <c r="A835" s="44"/>
      <c r="B835" s="44"/>
      <c r="C835" s="44"/>
      <c r="D835" s="44"/>
      <c r="E835" s="44"/>
      <c r="F835" s="44"/>
      <c r="G835" s="44"/>
    </row>
    <row r="836" spans="1:7" x14ac:dyDescent="0.2">
      <c r="A836" s="43"/>
      <c r="B836" s="43"/>
      <c r="C836" s="43"/>
      <c r="D836" s="43"/>
      <c r="E836" s="43"/>
      <c r="F836" s="43"/>
      <c r="G836" s="43"/>
    </row>
    <row r="837" spans="1:7" x14ac:dyDescent="0.2">
      <c r="A837" s="44"/>
      <c r="B837" s="44"/>
      <c r="C837" s="44"/>
      <c r="D837" s="44"/>
      <c r="E837" s="44"/>
      <c r="F837" s="44"/>
      <c r="G837" s="44"/>
    </row>
    <row r="838" spans="1:7" x14ac:dyDescent="0.2">
      <c r="A838" s="43"/>
      <c r="B838" s="43"/>
      <c r="C838" s="43"/>
      <c r="D838" s="43"/>
      <c r="E838" s="43"/>
      <c r="F838" s="43"/>
      <c r="G838" s="43"/>
    </row>
    <row r="839" spans="1:7" x14ac:dyDescent="0.2">
      <c r="A839" s="44"/>
      <c r="B839" s="44"/>
      <c r="C839" s="44"/>
      <c r="D839" s="44"/>
      <c r="E839" s="44"/>
      <c r="F839" s="44"/>
      <c r="G839" s="44"/>
    </row>
    <row r="840" spans="1:7" x14ac:dyDescent="0.2">
      <c r="A840" s="43"/>
      <c r="B840" s="43"/>
      <c r="C840" s="43"/>
      <c r="D840" s="43"/>
      <c r="E840" s="43"/>
      <c r="F840" s="43"/>
      <c r="G840" s="43"/>
    </row>
    <row r="841" spans="1:7" x14ac:dyDescent="0.2">
      <c r="A841" s="44"/>
      <c r="B841" s="44"/>
      <c r="C841" s="44"/>
      <c r="D841" s="44"/>
      <c r="E841" s="44"/>
      <c r="F841" s="44"/>
      <c r="G841" s="44"/>
    </row>
    <row r="842" spans="1:7" x14ac:dyDescent="0.2">
      <c r="A842" s="43"/>
      <c r="B842" s="43"/>
      <c r="C842" s="43"/>
      <c r="D842" s="43"/>
      <c r="E842" s="43"/>
      <c r="F842" s="43"/>
      <c r="G842" s="43"/>
    </row>
    <row r="843" spans="1:7" x14ac:dyDescent="0.2">
      <c r="A843" s="44"/>
      <c r="B843" s="44"/>
      <c r="C843" s="44"/>
      <c r="D843" s="44"/>
      <c r="E843" s="44"/>
      <c r="F843" s="44"/>
      <c r="G843" s="44"/>
    </row>
    <row r="844" spans="1:7" x14ac:dyDescent="0.2">
      <c r="A844" s="43"/>
      <c r="B844" s="43"/>
      <c r="C844" s="43"/>
      <c r="D844" s="43"/>
      <c r="E844" s="43"/>
      <c r="F844" s="43"/>
      <c r="G844" s="43"/>
    </row>
    <row r="845" spans="1:7" x14ac:dyDescent="0.2">
      <c r="A845" s="44"/>
      <c r="B845" s="44"/>
      <c r="C845" s="44"/>
      <c r="D845" s="44"/>
      <c r="E845" s="44"/>
      <c r="F845" s="44"/>
      <c r="G845" s="44"/>
    </row>
    <row r="846" spans="1:7" x14ac:dyDescent="0.2">
      <c r="A846" s="43"/>
      <c r="B846" s="43"/>
      <c r="C846" s="43"/>
      <c r="D846" s="43"/>
      <c r="E846" s="43"/>
      <c r="F846" s="43"/>
      <c r="G846" s="43"/>
    </row>
    <row r="847" spans="1:7" x14ac:dyDescent="0.2">
      <c r="A847" s="44"/>
      <c r="B847" s="44"/>
      <c r="C847" s="44"/>
      <c r="D847" s="44"/>
      <c r="E847" s="44"/>
      <c r="F847" s="44"/>
      <c r="G847" s="44"/>
    </row>
    <row r="848" spans="1:7" x14ac:dyDescent="0.2">
      <c r="A848" s="43"/>
      <c r="B848" s="43"/>
      <c r="C848" s="43"/>
      <c r="D848" s="43"/>
      <c r="E848" s="43"/>
      <c r="F848" s="43"/>
      <c r="G848" s="43"/>
    </row>
    <row r="849" spans="1:7" x14ac:dyDescent="0.2">
      <c r="A849" s="44"/>
      <c r="B849" s="44"/>
      <c r="C849" s="44"/>
      <c r="D849" s="44"/>
      <c r="E849" s="44"/>
      <c r="F849" s="44"/>
      <c r="G849" s="44"/>
    </row>
    <row r="850" spans="1:7" x14ac:dyDescent="0.2">
      <c r="A850" s="43"/>
      <c r="B850" s="43"/>
      <c r="C850" s="43"/>
      <c r="D850" s="43"/>
      <c r="E850" s="43"/>
      <c r="F850" s="43"/>
      <c r="G850" s="43"/>
    </row>
    <row r="851" spans="1:7" x14ac:dyDescent="0.2">
      <c r="A851" s="44"/>
      <c r="B851" s="44"/>
      <c r="C851" s="44"/>
      <c r="D851" s="44"/>
      <c r="E851" s="44"/>
      <c r="F851" s="44"/>
      <c r="G851" s="44"/>
    </row>
    <row r="852" spans="1:7" x14ac:dyDescent="0.2">
      <c r="A852" s="43"/>
      <c r="B852" s="43"/>
      <c r="C852" s="43"/>
      <c r="D852" s="43"/>
      <c r="E852" s="43"/>
      <c r="F852" s="43"/>
      <c r="G852" s="43"/>
    </row>
    <row r="853" spans="1:7" x14ac:dyDescent="0.2">
      <c r="A853" s="44"/>
      <c r="B853" s="44"/>
      <c r="C853" s="44"/>
      <c r="D853" s="44"/>
      <c r="E853" s="44"/>
      <c r="F853" s="44"/>
      <c r="G853" s="44"/>
    </row>
    <row r="854" spans="1:7" x14ac:dyDescent="0.2">
      <c r="A854" s="43"/>
      <c r="B854" s="43"/>
      <c r="C854" s="43"/>
      <c r="D854" s="43"/>
      <c r="E854" s="43"/>
      <c r="F854" s="43"/>
      <c r="G854" s="43"/>
    </row>
    <row r="855" spans="1:7" x14ac:dyDescent="0.2">
      <c r="A855" s="44"/>
      <c r="B855" s="44"/>
      <c r="C855" s="44"/>
      <c r="D855" s="44"/>
      <c r="E855" s="44"/>
      <c r="F855" s="44"/>
      <c r="G855" s="44"/>
    </row>
    <row r="856" spans="1:7" x14ac:dyDescent="0.2">
      <c r="A856" s="43"/>
      <c r="B856" s="43"/>
      <c r="C856" s="43"/>
      <c r="D856" s="43"/>
      <c r="E856" s="43"/>
      <c r="F856" s="43"/>
      <c r="G856" s="43"/>
    </row>
    <row r="857" spans="1:7" x14ac:dyDescent="0.2">
      <c r="A857" s="44"/>
      <c r="B857" s="44"/>
      <c r="C857" s="44"/>
      <c r="D857" s="44"/>
      <c r="E857" s="44"/>
      <c r="F857" s="44"/>
      <c r="G857" s="44"/>
    </row>
    <row r="858" spans="1:7" x14ac:dyDescent="0.2">
      <c r="A858" s="43"/>
      <c r="B858" s="43"/>
      <c r="C858" s="43"/>
      <c r="D858" s="43"/>
      <c r="E858" s="43"/>
      <c r="F858" s="43"/>
      <c r="G858" s="43"/>
    </row>
    <row r="859" spans="1:7" x14ac:dyDescent="0.2">
      <c r="A859" s="44"/>
      <c r="B859" s="44"/>
      <c r="C859" s="44"/>
      <c r="D859" s="44"/>
      <c r="E859" s="44"/>
      <c r="F859" s="44"/>
      <c r="G859" s="44"/>
    </row>
    <row r="860" spans="1:7" x14ac:dyDescent="0.2">
      <c r="A860" s="43"/>
      <c r="B860" s="43"/>
      <c r="C860" s="43"/>
      <c r="D860" s="43"/>
      <c r="E860" s="43"/>
      <c r="F860" s="43"/>
      <c r="G860" s="43"/>
    </row>
    <row r="861" spans="1:7" x14ac:dyDescent="0.2">
      <c r="A861" s="44"/>
      <c r="B861" s="44"/>
      <c r="C861" s="44"/>
      <c r="D861" s="44"/>
      <c r="E861" s="44"/>
      <c r="F861" s="44"/>
      <c r="G861" s="44"/>
    </row>
    <row r="862" spans="1:7" x14ac:dyDescent="0.2">
      <c r="A862" s="43"/>
      <c r="B862" s="43"/>
      <c r="C862" s="43"/>
      <c r="D862" s="43"/>
      <c r="E862" s="43"/>
      <c r="F862" s="43"/>
      <c r="G862" s="43"/>
    </row>
    <row r="863" spans="1:7" x14ac:dyDescent="0.2">
      <c r="A863" s="44"/>
      <c r="B863" s="44"/>
      <c r="C863" s="44"/>
      <c r="D863" s="44"/>
      <c r="E863" s="44"/>
      <c r="F863" s="44"/>
      <c r="G863" s="44"/>
    </row>
    <row r="864" spans="1:7" x14ac:dyDescent="0.2">
      <c r="A864" s="43"/>
      <c r="B864" s="43"/>
      <c r="C864" s="43"/>
      <c r="D864" s="43"/>
      <c r="E864" s="43"/>
      <c r="F864" s="43"/>
      <c r="G864" s="43"/>
    </row>
    <row r="865" spans="1:7" x14ac:dyDescent="0.2">
      <c r="A865" s="44"/>
      <c r="B865" s="44"/>
      <c r="C865" s="44"/>
      <c r="D865" s="44"/>
      <c r="E865" s="44"/>
      <c r="F865" s="44"/>
      <c r="G865" s="44"/>
    </row>
    <row r="866" spans="1:7" x14ac:dyDescent="0.2">
      <c r="A866" s="43"/>
      <c r="B866" s="43"/>
      <c r="C866" s="43"/>
      <c r="D866" s="43"/>
      <c r="E866" s="43"/>
      <c r="F866" s="43"/>
      <c r="G866" s="43"/>
    </row>
    <row r="867" spans="1:7" x14ac:dyDescent="0.2">
      <c r="A867" s="44"/>
      <c r="B867" s="44"/>
      <c r="C867" s="44"/>
      <c r="D867" s="44"/>
      <c r="E867" s="44"/>
      <c r="F867" s="44"/>
      <c r="G867" s="44"/>
    </row>
    <row r="868" spans="1:7" x14ac:dyDescent="0.2">
      <c r="A868" s="43"/>
      <c r="B868" s="43"/>
      <c r="C868" s="43"/>
      <c r="D868" s="43"/>
      <c r="E868" s="43"/>
      <c r="F868" s="43"/>
      <c r="G868" s="43"/>
    </row>
    <row r="869" spans="1:7" x14ac:dyDescent="0.2">
      <c r="A869" s="44"/>
      <c r="B869" s="44"/>
      <c r="C869" s="44"/>
      <c r="D869" s="44"/>
      <c r="E869" s="44"/>
      <c r="F869" s="44"/>
      <c r="G869" s="44"/>
    </row>
    <row r="870" spans="1:7" x14ac:dyDescent="0.2">
      <c r="A870" s="43"/>
      <c r="B870" s="43"/>
      <c r="C870" s="43"/>
      <c r="D870" s="43"/>
      <c r="E870" s="43"/>
      <c r="F870" s="43"/>
      <c r="G870" s="43"/>
    </row>
    <row r="871" spans="1:7" x14ac:dyDescent="0.2">
      <c r="A871" s="44"/>
      <c r="B871" s="44"/>
      <c r="C871" s="44"/>
      <c r="D871" s="44"/>
      <c r="E871" s="44"/>
      <c r="F871" s="44"/>
      <c r="G871" s="44"/>
    </row>
    <row r="872" spans="1:7" x14ac:dyDescent="0.2">
      <c r="A872" s="43"/>
      <c r="B872" s="43"/>
      <c r="C872" s="43"/>
      <c r="D872" s="43"/>
      <c r="E872" s="43"/>
      <c r="F872" s="43"/>
      <c r="G872" s="43"/>
    </row>
    <row r="873" spans="1:7" x14ac:dyDescent="0.2">
      <c r="A873" s="44"/>
      <c r="B873" s="44"/>
      <c r="C873" s="44"/>
      <c r="D873" s="44"/>
      <c r="E873" s="44"/>
      <c r="F873" s="44"/>
      <c r="G873" s="44"/>
    </row>
    <row r="874" spans="1:7" x14ac:dyDescent="0.2">
      <c r="A874" s="43"/>
      <c r="B874" s="43"/>
      <c r="C874" s="43"/>
      <c r="D874" s="43"/>
      <c r="E874" s="43"/>
      <c r="F874" s="43"/>
      <c r="G874" s="43"/>
    </row>
    <row r="875" spans="1:7" x14ac:dyDescent="0.2">
      <c r="A875" s="44"/>
      <c r="B875" s="44"/>
      <c r="C875" s="44"/>
      <c r="D875" s="44"/>
      <c r="E875" s="44"/>
      <c r="F875" s="44"/>
      <c r="G875" s="44"/>
    </row>
    <row r="876" spans="1:7" x14ac:dyDescent="0.2">
      <c r="A876" s="43"/>
      <c r="B876" s="43"/>
      <c r="C876" s="43"/>
      <c r="D876" s="43"/>
      <c r="E876" s="43"/>
      <c r="F876" s="43"/>
      <c r="G876" s="43"/>
    </row>
    <row r="877" spans="1:7" x14ac:dyDescent="0.2">
      <c r="A877" s="44"/>
      <c r="B877" s="44"/>
      <c r="C877" s="44"/>
      <c r="D877" s="44"/>
      <c r="E877" s="44"/>
      <c r="F877" s="44"/>
      <c r="G877" s="44"/>
    </row>
    <row r="878" spans="1:7" x14ac:dyDescent="0.2">
      <c r="A878" s="43"/>
      <c r="B878" s="43"/>
      <c r="C878" s="43"/>
      <c r="D878" s="43"/>
      <c r="E878" s="43"/>
      <c r="F878" s="43"/>
      <c r="G878" s="43"/>
    </row>
    <row r="879" spans="1:7" x14ac:dyDescent="0.2">
      <c r="A879" s="44"/>
      <c r="B879" s="44"/>
      <c r="C879" s="44"/>
      <c r="D879" s="44"/>
      <c r="E879" s="44"/>
      <c r="F879" s="44"/>
      <c r="G879" s="44"/>
    </row>
    <row r="880" spans="1:7" x14ac:dyDescent="0.2">
      <c r="A880" s="43"/>
      <c r="B880" s="43"/>
      <c r="C880" s="43"/>
      <c r="D880" s="43"/>
      <c r="E880" s="43"/>
      <c r="F880" s="43"/>
      <c r="G880" s="43"/>
    </row>
    <row r="881" spans="1:7" x14ac:dyDescent="0.2">
      <c r="A881" s="44"/>
      <c r="B881" s="44"/>
      <c r="C881" s="44"/>
      <c r="D881" s="44"/>
      <c r="E881" s="44"/>
      <c r="F881" s="44"/>
      <c r="G881" s="44"/>
    </row>
    <row r="882" spans="1:7" x14ac:dyDescent="0.2">
      <c r="A882" s="43"/>
      <c r="B882" s="43"/>
      <c r="C882" s="43"/>
      <c r="D882" s="43"/>
      <c r="E882" s="43"/>
      <c r="F882" s="43"/>
      <c r="G882" s="43"/>
    </row>
    <row r="883" spans="1:7" x14ac:dyDescent="0.2">
      <c r="A883" s="44"/>
      <c r="B883" s="44"/>
      <c r="C883" s="44"/>
      <c r="D883" s="44"/>
      <c r="E883" s="44"/>
      <c r="F883" s="44"/>
      <c r="G883" s="44"/>
    </row>
    <row r="884" spans="1:7" x14ac:dyDescent="0.2">
      <c r="A884" s="43"/>
      <c r="B884" s="43"/>
      <c r="C884" s="43"/>
      <c r="D884" s="43"/>
      <c r="E884" s="43"/>
      <c r="F884" s="43"/>
      <c r="G884" s="43"/>
    </row>
    <row r="885" spans="1:7" x14ac:dyDescent="0.2">
      <c r="A885" s="44"/>
      <c r="B885" s="44"/>
      <c r="C885" s="44"/>
      <c r="D885" s="44"/>
      <c r="E885" s="44"/>
      <c r="F885" s="44"/>
      <c r="G885" s="44"/>
    </row>
    <row r="886" spans="1:7" x14ac:dyDescent="0.2">
      <c r="A886" s="43"/>
      <c r="B886" s="43"/>
      <c r="C886" s="43"/>
      <c r="D886" s="43"/>
      <c r="E886" s="43"/>
      <c r="F886" s="43"/>
      <c r="G886" s="43"/>
    </row>
    <row r="887" spans="1:7" x14ac:dyDescent="0.2">
      <c r="A887" s="44"/>
      <c r="B887" s="44"/>
      <c r="C887" s="44"/>
      <c r="D887" s="44"/>
      <c r="E887" s="44"/>
      <c r="F887" s="44"/>
      <c r="G887" s="44"/>
    </row>
    <row r="888" spans="1:7" x14ac:dyDescent="0.2">
      <c r="A888" s="43"/>
      <c r="B888" s="43"/>
      <c r="C888" s="43"/>
      <c r="D888" s="43"/>
      <c r="E888" s="43"/>
      <c r="F888" s="43"/>
      <c r="G888" s="43"/>
    </row>
    <row r="889" spans="1:7" x14ac:dyDescent="0.2">
      <c r="A889" s="44"/>
      <c r="B889" s="44"/>
      <c r="C889" s="44"/>
      <c r="D889" s="44"/>
      <c r="E889" s="44"/>
      <c r="F889" s="44"/>
      <c r="G889" s="44"/>
    </row>
    <row r="890" spans="1:7" x14ac:dyDescent="0.2">
      <c r="A890" s="43"/>
      <c r="B890" s="43"/>
      <c r="C890" s="43"/>
      <c r="D890" s="43"/>
      <c r="E890" s="43"/>
      <c r="F890" s="43"/>
      <c r="G890" s="43"/>
    </row>
    <row r="891" spans="1:7" x14ac:dyDescent="0.2">
      <c r="A891" s="44"/>
      <c r="B891" s="44"/>
      <c r="C891" s="44"/>
      <c r="D891" s="44"/>
      <c r="E891" s="44"/>
      <c r="F891" s="44"/>
      <c r="G891" s="44"/>
    </row>
    <row r="892" spans="1:7" x14ac:dyDescent="0.2">
      <c r="A892" s="43"/>
      <c r="B892" s="43"/>
      <c r="C892" s="43"/>
      <c r="D892" s="43"/>
      <c r="E892" s="43"/>
      <c r="F892" s="43"/>
      <c r="G892" s="43"/>
    </row>
    <row r="893" spans="1:7" x14ac:dyDescent="0.2">
      <c r="A893" s="44"/>
      <c r="B893" s="44"/>
      <c r="C893" s="44"/>
      <c r="D893" s="44"/>
      <c r="E893" s="44"/>
      <c r="F893" s="44"/>
      <c r="G893" s="44"/>
    </row>
    <row r="894" spans="1:7" x14ac:dyDescent="0.2">
      <c r="A894" s="43"/>
      <c r="B894" s="43"/>
      <c r="C894" s="43"/>
      <c r="D894" s="43"/>
      <c r="E894" s="43"/>
      <c r="F894" s="43"/>
      <c r="G894" s="43"/>
    </row>
    <row r="895" spans="1:7" x14ac:dyDescent="0.2">
      <c r="A895" s="44"/>
      <c r="B895" s="44"/>
      <c r="C895" s="44"/>
      <c r="D895" s="44"/>
      <c r="E895" s="44"/>
      <c r="F895" s="44"/>
      <c r="G895" s="44"/>
    </row>
    <row r="896" spans="1:7" x14ac:dyDescent="0.2">
      <c r="A896" s="43"/>
      <c r="B896" s="43"/>
      <c r="C896" s="43"/>
      <c r="D896" s="43"/>
      <c r="E896" s="43"/>
      <c r="F896" s="43"/>
      <c r="G896" s="43"/>
    </row>
    <row r="897" spans="1:7" x14ac:dyDescent="0.2">
      <c r="A897" s="44"/>
      <c r="B897" s="44"/>
      <c r="C897" s="44"/>
      <c r="D897" s="44"/>
      <c r="E897" s="44"/>
      <c r="F897" s="44"/>
      <c r="G897" s="44"/>
    </row>
    <row r="898" spans="1:7" x14ac:dyDescent="0.2">
      <c r="A898" s="43"/>
      <c r="B898" s="43"/>
      <c r="C898" s="43"/>
      <c r="D898" s="43"/>
      <c r="E898" s="43"/>
      <c r="F898" s="43"/>
      <c r="G898" s="43"/>
    </row>
    <row r="899" spans="1:7" x14ac:dyDescent="0.2">
      <c r="A899" s="44"/>
      <c r="B899" s="44"/>
      <c r="C899" s="44"/>
      <c r="D899" s="44"/>
      <c r="E899" s="44"/>
      <c r="F899" s="44"/>
      <c r="G899" s="44"/>
    </row>
    <row r="900" spans="1:7" x14ac:dyDescent="0.2">
      <c r="A900" s="43"/>
      <c r="B900" s="43"/>
      <c r="C900" s="43"/>
      <c r="D900" s="43"/>
      <c r="E900" s="43"/>
      <c r="F900" s="43"/>
      <c r="G900" s="43"/>
    </row>
    <row r="901" spans="1:7" x14ac:dyDescent="0.2">
      <c r="A901" s="44"/>
      <c r="B901" s="44"/>
      <c r="C901" s="44"/>
      <c r="D901" s="44"/>
      <c r="E901" s="44"/>
      <c r="F901" s="44"/>
      <c r="G901" s="44"/>
    </row>
    <row r="902" spans="1:7" x14ac:dyDescent="0.2">
      <c r="A902" s="43"/>
      <c r="B902" s="43"/>
      <c r="C902" s="43"/>
      <c r="D902" s="43"/>
      <c r="E902" s="43"/>
      <c r="F902" s="43"/>
      <c r="G902" s="43"/>
    </row>
    <row r="903" spans="1:7" x14ac:dyDescent="0.2">
      <c r="A903" s="44"/>
      <c r="B903" s="44"/>
      <c r="C903" s="44"/>
      <c r="D903" s="44"/>
      <c r="E903" s="44"/>
      <c r="F903" s="44"/>
      <c r="G903" s="44"/>
    </row>
    <row r="904" spans="1:7" x14ac:dyDescent="0.2">
      <c r="A904" s="43"/>
      <c r="B904" s="43"/>
      <c r="C904" s="43"/>
      <c r="D904" s="43"/>
      <c r="E904" s="43"/>
      <c r="F904" s="43"/>
      <c r="G904" s="43"/>
    </row>
    <row r="905" spans="1:7" x14ac:dyDescent="0.2">
      <c r="A905" s="44"/>
      <c r="B905" s="44"/>
      <c r="C905" s="44"/>
      <c r="D905" s="44"/>
      <c r="E905" s="44"/>
      <c r="F905" s="44"/>
      <c r="G905" s="44"/>
    </row>
    <row r="906" spans="1:7" x14ac:dyDescent="0.2">
      <c r="A906" s="43"/>
      <c r="B906" s="43"/>
      <c r="C906" s="43"/>
      <c r="D906" s="43"/>
      <c r="E906" s="43"/>
      <c r="F906" s="43"/>
      <c r="G906" s="43"/>
    </row>
    <row r="907" spans="1:7" x14ac:dyDescent="0.2">
      <c r="A907" s="44"/>
      <c r="B907" s="44"/>
      <c r="C907" s="44"/>
      <c r="D907" s="44"/>
      <c r="E907" s="44"/>
      <c r="F907" s="44"/>
      <c r="G907" s="44"/>
    </row>
    <row r="908" spans="1:7" x14ac:dyDescent="0.2">
      <c r="A908" s="43"/>
      <c r="B908" s="43"/>
      <c r="C908" s="43"/>
      <c r="D908" s="43"/>
      <c r="E908" s="43"/>
      <c r="F908" s="43"/>
      <c r="G908" s="43"/>
    </row>
    <row r="909" spans="1:7" x14ac:dyDescent="0.2">
      <c r="A909" s="44"/>
      <c r="B909" s="44"/>
      <c r="C909" s="44"/>
      <c r="D909" s="44"/>
      <c r="E909" s="44"/>
      <c r="F909" s="44"/>
      <c r="G909" s="44"/>
    </row>
    <row r="910" spans="1:7" x14ac:dyDescent="0.2">
      <c r="A910" s="43"/>
      <c r="B910" s="43"/>
      <c r="C910" s="43"/>
      <c r="D910" s="43"/>
      <c r="E910" s="43"/>
      <c r="F910" s="43"/>
      <c r="G910" s="43"/>
    </row>
    <row r="911" spans="1:7" x14ac:dyDescent="0.2">
      <c r="A911" s="44"/>
      <c r="B911" s="44"/>
      <c r="C911" s="44"/>
      <c r="D911" s="44"/>
      <c r="E911" s="44"/>
      <c r="F911" s="44"/>
      <c r="G911" s="44"/>
    </row>
    <row r="912" spans="1:7" x14ac:dyDescent="0.2">
      <c r="A912" s="43"/>
      <c r="B912" s="43"/>
      <c r="C912" s="43"/>
      <c r="D912" s="43"/>
      <c r="E912" s="43"/>
      <c r="F912" s="43"/>
      <c r="G912" s="43"/>
    </row>
    <row r="913" spans="1:7" x14ac:dyDescent="0.2">
      <c r="A913" s="44"/>
      <c r="B913" s="44"/>
      <c r="C913" s="44"/>
      <c r="D913" s="44"/>
      <c r="E913" s="44"/>
      <c r="F913" s="44"/>
      <c r="G913" s="44"/>
    </row>
    <row r="914" spans="1:7" x14ac:dyDescent="0.2">
      <c r="A914" s="43"/>
      <c r="B914" s="43"/>
      <c r="C914" s="43"/>
      <c r="D914" s="43"/>
      <c r="E914" s="43"/>
      <c r="F914" s="43"/>
      <c r="G914" s="43"/>
    </row>
    <row r="915" spans="1:7" x14ac:dyDescent="0.2">
      <c r="A915" s="44"/>
      <c r="B915" s="44"/>
      <c r="C915" s="44"/>
      <c r="D915" s="44"/>
      <c r="E915" s="44"/>
      <c r="F915" s="44"/>
      <c r="G915" s="44"/>
    </row>
    <row r="916" spans="1:7" x14ac:dyDescent="0.2">
      <c r="A916" s="43"/>
      <c r="B916" s="43"/>
      <c r="C916" s="43"/>
      <c r="D916" s="43"/>
      <c r="E916" s="43"/>
      <c r="F916" s="43"/>
      <c r="G916" s="43"/>
    </row>
    <row r="917" spans="1:7" x14ac:dyDescent="0.2">
      <c r="A917" s="44"/>
      <c r="B917" s="44"/>
      <c r="C917" s="44"/>
      <c r="D917" s="44"/>
      <c r="E917" s="44"/>
      <c r="F917" s="44"/>
      <c r="G917" s="44"/>
    </row>
    <row r="918" spans="1:7" x14ac:dyDescent="0.2">
      <c r="A918" s="43"/>
      <c r="B918" s="43"/>
      <c r="C918" s="43"/>
      <c r="D918" s="43"/>
      <c r="E918" s="43"/>
      <c r="F918" s="43"/>
      <c r="G918" s="43"/>
    </row>
    <row r="919" spans="1:7" x14ac:dyDescent="0.2">
      <c r="A919" s="44"/>
      <c r="B919" s="44"/>
      <c r="C919" s="44"/>
      <c r="D919" s="44"/>
      <c r="E919" s="44"/>
      <c r="F919" s="44"/>
      <c r="G919" s="44"/>
    </row>
    <row r="920" spans="1:7" x14ac:dyDescent="0.2">
      <c r="A920" s="43"/>
      <c r="B920" s="43"/>
      <c r="C920" s="43"/>
      <c r="D920" s="43"/>
      <c r="E920" s="43"/>
      <c r="F920" s="43"/>
      <c r="G920" s="43"/>
    </row>
    <row r="921" spans="1:7" x14ac:dyDescent="0.2">
      <c r="A921" s="44"/>
      <c r="B921" s="44"/>
      <c r="C921" s="44"/>
      <c r="D921" s="44"/>
      <c r="E921" s="44"/>
      <c r="F921" s="44"/>
      <c r="G921" s="44"/>
    </row>
    <row r="922" spans="1:7" x14ac:dyDescent="0.2">
      <c r="A922" s="43"/>
      <c r="B922" s="43"/>
      <c r="C922" s="43"/>
      <c r="D922" s="43"/>
      <c r="E922" s="43"/>
      <c r="F922" s="43"/>
      <c r="G922" s="43"/>
    </row>
    <row r="923" spans="1:7" x14ac:dyDescent="0.2">
      <c r="A923" s="44"/>
      <c r="B923" s="44"/>
      <c r="C923" s="44"/>
      <c r="D923" s="44"/>
      <c r="E923" s="44"/>
      <c r="F923" s="44"/>
      <c r="G923" s="44"/>
    </row>
    <row r="924" spans="1:7" x14ac:dyDescent="0.2">
      <c r="A924" s="43"/>
      <c r="B924" s="43"/>
      <c r="C924" s="43"/>
      <c r="D924" s="43"/>
      <c r="E924" s="43"/>
      <c r="F924" s="43"/>
      <c r="G924" s="43"/>
    </row>
    <row r="925" spans="1:7" x14ac:dyDescent="0.2">
      <c r="A925" s="44"/>
      <c r="B925" s="44"/>
      <c r="C925" s="44"/>
      <c r="D925" s="44"/>
      <c r="E925" s="44"/>
      <c r="F925" s="44"/>
      <c r="G925" s="44"/>
    </row>
    <row r="926" spans="1:7" x14ac:dyDescent="0.2">
      <c r="A926" s="43"/>
      <c r="B926" s="43"/>
      <c r="C926" s="43"/>
      <c r="D926" s="43"/>
      <c r="E926" s="43"/>
      <c r="F926" s="43"/>
      <c r="G926" s="43"/>
    </row>
    <row r="927" spans="1:7" x14ac:dyDescent="0.2">
      <c r="A927" s="44"/>
      <c r="B927" s="44"/>
      <c r="C927" s="44"/>
      <c r="D927" s="44"/>
      <c r="E927" s="44"/>
      <c r="F927" s="44"/>
      <c r="G927" s="44"/>
    </row>
    <row r="928" spans="1:7" x14ac:dyDescent="0.2">
      <c r="A928" s="43"/>
      <c r="B928" s="43"/>
      <c r="C928" s="43"/>
      <c r="D928" s="43"/>
      <c r="E928" s="43"/>
      <c r="F928" s="43"/>
      <c r="G928" s="43"/>
    </row>
    <row r="929" spans="1:7" x14ac:dyDescent="0.2">
      <c r="A929" s="44"/>
      <c r="B929" s="44"/>
      <c r="C929" s="44"/>
      <c r="D929" s="44"/>
      <c r="E929" s="44"/>
      <c r="F929" s="44"/>
      <c r="G929" s="44"/>
    </row>
    <row r="930" spans="1:7" x14ac:dyDescent="0.2">
      <c r="A930" s="43"/>
      <c r="B930" s="43"/>
      <c r="C930" s="43"/>
      <c r="D930" s="43"/>
      <c r="E930" s="43"/>
      <c r="F930" s="43"/>
      <c r="G930" s="43"/>
    </row>
    <row r="931" spans="1:7" x14ac:dyDescent="0.2">
      <c r="A931" s="44"/>
      <c r="B931" s="44"/>
      <c r="C931" s="44"/>
      <c r="D931" s="44"/>
      <c r="E931" s="44"/>
      <c r="F931" s="44"/>
      <c r="G931" s="44"/>
    </row>
    <row r="932" spans="1:7" x14ac:dyDescent="0.2">
      <c r="A932" s="43"/>
      <c r="B932" s="43"/>
      <c r="C932" s="43"/>
      <c r="D932" s="43"/>
      <c r="E932" s="43"/>
      <c r="F932" s="43"/>
      <c r="G932" s="43"/>
    </row>
    <row r="933" spans="1:7" x14ac:dyDescent="0.2">
      <c r="A933" s="44"/>
      <c r="B933" s="44"/>
      <c r="C933" s="44"/>
      <c r="D933" s="44"/>
      <c r="E933" s="44"/>
      <c r="F933" s="44"/>
      <c r="G933" s="44"/>
    </row>
    <row r="934" spans="1:7" x14ac:dyDescent="0.2">
      <c r="A934" s="43"/>
      <c r="B934" s="43"/>
      <c r="C934" s="43"/>
      <c r="D934" s="43"/>
      <c r="E934" s="43"/>
      <c r="F934" s="43"/>
      <c r="G934" s="43"/>
    </row>
    <row r="935" spans="1:7" x14ac:dyDescent="0.2">
      <c r="A935" s="44"/>
      <c r="B935" s="44"/>
      <c r="C935" s="44"/>
      <c r="D935" s="44"/>
      <c r="E935" s="44"/>
      <c r="F935" s="44"/>
      <c r="G935" s="44"/>
    </row>
    <row r="936" spans="1:7" x14ac:dyDescent="0.2">
      <c r="A936" s="43"/>
      <c r="B936" s="43"/>
      <c r="C936" s="43"/>
      <c r="D936" s="43"/>
      <c r="E936" s="43"/>
      <c r="F936" s="43"/>
      <c r="G936" s="43"/>
    </row>
    <row r="937" spans="1:7" x14ac:dyDescent="0.2">
      <c r="A937" s="44"/>
      <c r="B937" s="44"/>
      <c r="C937" s="44"/>
      <c r="D937" s="44"/>
      <c r="E937" s="44"/>
      <c r="F937" s="44"/>
      <c r="G937" s="44"/>
    </row>
    <row r="938" spans="1:7" x14ac:dyDescent="0.2">
      <c r="A938" s="43"/>
      <c r="B938" s="43"/>
      <c r="C938" s="43"/>
      <c r="D938" s="43"/>
      <c r="E938" s="43"/>
      <c r="F938" s="43"/>
      <c r="G938" s="43"/>
    </row>
    <row r="939" spans="1:7" x14ac:dyDescent="0.2">
      <c r="A939" s="44"/>
      <c r="B939" s="44"/>
      <c r="C939" s="44"/>
      <c r="D939" s="44"/>
      <c r="E939" s="44"/>
      <c r="F939" s="44"/>
      <c r="G939" s="44"/>
    </row>
    <row r="940" spans="1:7" x14ac:dyDescent="0.2">
      <c r="A940" s="43"/>
      <c r="B940" s="43"/>
      <c r="C940" s="43"/>
      <c r="D940" s="43"/>
      <c r="E940" s="43"/>
      <c r="F940" s="43"/>
      <c r="G940" s="43"/>
    </row>
    <row r="941" spans="1:7" x14ac:dyDescent="0.2">
      <c r="A941" s="44"/>
      <c r="B941" s="44"/>
      <c r="C941" s="44"/>
      <c r="D941" s="44"/>
      <c r="E941" s="44"/>
      <c r="F941" s="44"/>
      <c r="G941" s="44"/>
    </row>
    <row r="942" spans="1:7" x14ac:dyDescent="0.2">
      <c r="A942" s="43"/>
      <c r="B942" s="43"/>
      <c r="C942" s="43"/>
      <c r="D942" s="43"/>
      <c r="E942" s="43"/>
      <c r="F942" s="43"/>
      <c r="G942" s="43"/>
    </row>
    <row r="943" spans="1:7" x14ac:dyDescent="0.2">
      <c r="A943" s="44"/>
      <c r="B943" s="44"/>
      <c r="C943" s="44"/>
      <c r="D943" s="44"/>
      <c r="E943" s="44"/>
      <c r="F943" s="44"/>
      <c r="G943" s="44"/>
    </row>
    <row r="944" spans="1:7" x14ac:dyDescent="0.2">
      <c r="A944" s="43"/>
      <c r="B944" s="43"/>
      <c r="C944" s="43"/>
      <c r="D944" s="43"/>
      <c r="E944" s="43"/>
      <c r="F944" s="43"/>
      <c r="G944" s="43"/>
    </row>
    <row r="945" spans="1:7" x14ac:dyDescent="0.2">
      <c r="A945" s="44"/>
      <c r="B945" s="44"/>
      <c r="C945" s="44"/>
      <c r="D945" s="44"/>
      <c r="E945" s="44"/>
      <c r="F945" s="44"/>
      <c r="G945" s="44"/>
    </row>
    <row r="946" spans="1:7" x14ac:dyDescent="0.2">
      <c r="A946" s="43"/>
      <c r="B946" s="43"/>
      <c r="C946" s="43"/>
      <c r="D946" s="43"/>
      <c r="E946" s="43"/>
      <c r="F946" s="43"/>
      <c r="G946" s="43"/>
    </row>
    <row r="947" spans="1:7" x14ac:dyDescent="0.2">
      <c r="A947" s="44"/>
      <c r="B947" s="44"/>
      <c r="C947" s="44"/>
      <c r="D947" s="44"/>
      <c r="E947" s="44"/>
      <c r="F947" s="44"/>
      <c r="G947" s="44"/>
    </row>
    <row r="948" spans="1:7" x14ac:dyDescent="0.2">
      <c r="A948" s="43"/>
      <c r="B948" s="43"/>
      <c r="C948" s="43"/>
      <c r="D948" s="43"/>
      <c r="E948" s="43"/>
      <c r="F948" s="43"/>
      <c r="G948" s="43"/>
    </row>
    <row r="949" spans="1:7" x14ac:dyDescent="0.2">
      <c r="A949" s="44"/>
      <c r="B949" s="44"/>
      <c r="C949" s="44"/>
      <c r="D949" s="44"/>
      <c r="E949" s="44"/>
      <c r="F949" s="44"/>
      <c r="G949" s="44"/>
    </row>
    <row r="950" spans="1:7" x14ac:dyDescent="0.2">
      <c r="A950" s="43"/>
      <c r="B950" s="43"/>
      <c r="C950" s="43"/>
      <c r="D950" s="43"/>
      <c r="E950" s="43"/>
      <c r="F950" s="43"/>
      <c r="G950" s="43"/>
    </row>
    <row r="951" spans="1:7" x14ac:dyDescent="0.2">
      <c r="A951" s="44"/>
      <c r="B951" s="44"/>
      <c r="C951" s="44"/>
      <c r="D951" s="44"/>
      <c r="E951" s="44"/>
      <c r="F951" s="44"/>
      <c r="G951" s="44"/>
    </row>
    <row r="952" spans="1:7" x14ac:dyDescent="0.2">
      <c r="A952" s="43"/>
      <c r="B952" s="43"/>
      <c r="C952" s="43"/>
      <c r="D952" s="43"/>
      <c r="E952" s="43"/>
      <c r="F952" s="43"/>
      <c r="G952" s="43"/>
    </row>
    <row r="953" spans="1:7" x14ac:dyDescent="0.2">
      <c r="A953" s="44"/>
      <c r="B953" s="44"/>
      <c r="C953" s="44"/>
      <c r="D953" s="44"/>
      <c r="E953" s="44"/>
      <c r="F953" s="44"/>
      <c r="G953" s="44"/>
    </row>
    <row r="954" spans="1:7" x14ac:dyDescent="0.2">
      <c r="A954" s="43"/>
      <c r="B954" s="43"/>
      <c r="C954" s="43"/>
      <c r="D954" s="43"/>
      <c r="E954" s="43"/>
      <c r="F954" s="43"/>
      <c r="G954" s="43"/>
    </row>
    <row r="955" spans="1:7" x14ac:dyDescent="0.2">
      <c r="A955" s="44"/>
      <c r="B955" s="44"/>
      <c r="C955" s="44"/>
      <c r="D955" s="44"/>
      <c r="E955" s="44"/>
      <c r="F955" s="44"/>
      <c r="G955" s="44"/>
    </row>
    <row r="956" spans="1:7" x14ac:dyDescent="0.2">
      <c r="A956" s="43"/>
      <c r="B956" s="43"/>
      <c r="C956" s="43"/>
      <c r="D956" s="43"/>
      <c r="E956" s="43"/>
      <c r="F956" s="43"/>
      <c r="G956" s="43"/>
    </row>
    <row r="957" spans="1:7" x14ac:dyDescent="0.2">
      <c r="A957" s="44"/>
      <c r="B957" s="44"/>
      <c r="C957" s="44"/>
      <c r="D957" s="44"/>
      <c r="E957" s="44"/>
      <c r="F957" s="44"/>
      <c r="G957" s="44"/>
    </row>
    <row r="958" spans="1:7" x14ac:dyDescent="0.2">
      <c r="A958" s="43"/>
      <c r="B958" s="43"/>
      <c r="C958" s="43"/>
      <c r="D958" s="43"/>
      <c r="E958" s="43"/>
      <c r="F958" s="43"/>
      <c r="G958" s="43"/>
    </row>
    <row r="959" spans="1:7" x14ac:dyDescent="0.2">
      <c r="A959" s="44"/>
      <c r="B959" s="44"/>
      <c r="C959" s="44"/>
      <c r="D959" s="44"/>
      <c r="E959" s="44"/>
      <c r="F959" s="44"/>
      <c r="G959" s="44"/>
    </row>
    <row r="960" spans="1:7" x14ac:dyDescent="0.2">
      <c r="A960" s="43"/>
      <c r="B960" s="43"/>
      <c r="C960" s="43"/>
      <c r="D960" s="43"/>
      <c r="E960" s="43"/>
      <c r="F960" s="43"/>
      <c r="G960" s="43"/>
    </row>
    <row r="961" spans="1:7" x14ac:dyDescent="0.2">
      <c r="A961" s="44"/>
      <c r="B961" s="44"/>
      <c r="C961" s="44"/>
      <c r="D961" s="44"/>
      <c r="E961" s="44"/>
      <c r="F961" s="44"/>
      <c r="G961" s="44"/>
    </row>
    <row r="962" spans="1:7" x14ac:dyDescent="0.2">
      <c r="A962" s="43"/>
      <c r="B962" s="43"/>
      <c r="C962" s="43"/>
      <c r="D962" s="43"/>
      <c r="E962" s="43"/>
      <c r="F962" s="43"/>
      <c r="G962" s="43"/>
    </row>
    <row r="963" spans="1:7" x14ac:dyDescent="0.2">
      <c r="A963" s="44"/>
      <c r="B963" s="44"/>
      <c r="C963" s="44"/>
      <c r="D963" s="44"/>
      <c r="E963" s="44"/>
      <c r="F963" s="44"/>
      <c r="G963" s="44"/>
    </row>
    <row r="964" spans="1:7" x14ac:dyDescent="0.2">
      <c r="A964" s="43"/>
      <c r="B964" s="43"/>
      <c r="C964" s="43"/>
      <c r="D964" s="43"/>
      <c r="E964" s="43"/>
      <c r="F964" s="43"/>
      <c r="G964" s="43"/>
    </row>
    <row r="965" spans="1:7" x14ac:dyDescent="0.2">
      <c r="A965" s="44"/>
      <c r="B965" s="44"/>
      <c r="C965" s="44"/>
      <c r="D965" s="44"/>
      <c r="E965" s="44"/>
      <c r="F965" s="44"/>
      <c r="G965" s="44"/>
    </row>
    <row r="966" spans="1:7" x14ac:dyDescent="0.2">
      <c r="A966" s="43"/>
      <c r="B966" s="43"/>
      <c r="C966" s="43"/>
      <c r="D966" s="43"/>
      <c r="E966" s="43"/>
      <c r="F966" s="43"/>
      <c r="G966" s="43"/>
    </row>
    <row r="967" spans="1:7" x14ac:dyDescent="0.2">
      <c r="A967" s="44"/>
      <c r="B967" s="44"/>
      <c r="C967" s="44"/>
      <c r="D967" s="44"/>
      <c r="E967" s="44"/>
      <c r="F967" s="44"/>
      <c r="G967" s="44"/>
    </row>
    <row r="968" spans="1:7" x14ac:dyDescent="0.2">
      <c r="A968" s="43"/>
      <c r="B968" s="43"/>
      <c r="C968" s="43"/>
      <c r="D968" s="43"/>
      <c r="E968" s="43"/>
      <c r="F968" s="43"/>
      <c r="G968" s="43"/>
    </row>
    <row r="969" spans="1:7" x14ac:dyDescent="0.2">
      <c r="A969" s="44"/>
      <c r="B969" s="44"/>
      <c r="C969" s="44"/>
      <c r="D969" s="44"/>
      <c r="E969" s="44"/>
      <c r="F969" s="44"/>
      <c r="G969" s="44"/>
    </row>
    <row r="970" spans="1:7" x14ac:dyDescent="0.2">
      <c r="A970" s="43"/>
      <c r="B970" s="43"/>
      <c r="C970" s="43"/>
      <c r="D970" s="43"/>
      <c r="E970" s="43"/>
      <c r="F970" s="43"/>
      <c r="G970" s="43"/>
    </row>
    <row r="971" spans="1:7" x14ac:dyDescent="0.2">
      <c r="A971" s="44"/>
      <c r="B971" s="44"/>
      <c r="C971" s="44"/>
      <c r="D971" s="44"/>
      <c r="E971" s="44"/>
      <c r="F971" s="44"/>
      <c r="G971" s="44"/>
    </row>
    <row r="972" spans="1:7" x14ac:dyDescent="0.2">
      <c r="A972" s="43"/>
      <c r="B972" s="43"/>
      <c r="C972" s="43"/>
      <c r="D972" s="43"/>
      <c r="E972" s="43"/>
      <c r="F972" s="43"/>
      <c r="G972" s="43"/>
    </row>
    <row r="973" spans="1:7" x14ac:dyDescent="0.2">
      <c r="A973" s="44"/>
      <c r="B973" s="44"/>
      <c r="C973" s="44"/>
      <c r="D973" s="44"/>
      <c r="E973" s="44"/>
      <c r="F973" s="44"/>
      <c r="G973" s="44"/>
    </row>
    <row r="974" spans="1:7" x14ac:dyDescent="0.2">
      <c r="A974" s="43"/>
      <c r="B974" s="43"/>
      <c r="C974" s="43"/>
      <c r="D974" s="43"/>
      <c r="E974" s="43"/>
      <c r="F974" s="43"/>
      <c r="G974" s="43"/>
    </row>
    <row r="975" spans="1:7" x14ac:dyDescent="0.2">
      <c r="A975" s="44"/>
      <c r="B975" s="44"/>
      <c r="C975" s="44"/>
      <c r="D975" s="44"/>
      <c r="E975" s="44"/>
      <c r="F975" s="44"/>
      <c r="G975" s="44"/>
    </row>
    <row r="976" spans="1:7" x14ac:dyDescent="0.2">
      <c r="A976" s="43"/>
      <c r="B976" s="43"/>
      <c r="C976" s="43"/>
      <c r="D976" s="43"/>
      <c r="E976" s="43"/>
      <c r="F976" s="43"/>
      <c r="G976" s="43"/>
    </row>
    <row r="977" spans="1:7" x14ac:dyDescent="0.2">
      <c r="A977" s="44"/>
      <c r="B977" s="44"/>
      <c r="C977" s="44"/>
      <c r="D977" s="44"/>
      <c r="E977" s="44"/>
      <c r="F977" s="44"/>
      <c r="G977" s="44"/>
    </row>
    <row r="978" spans="1:7" x14ac:dyDescent="0.2">
      <c r="A978" s="43"/>
      <c r="B978" s="43"/>
      <c r="C978" s="43"/>
      <c r="D978" s="43"/>
      <c r="E978" s="43"/>
      <c r="F978" s="43"/>
      <c r="G978" s="43"/>
    </row>
    <row r="979" spans="1:7" x14ac:dyDescent="0.2">
      <c r="A979" s="44"/>
      <c r="B979" s="44"/>
      <c r="C979" s="44"/>
      <c r="D979" s="44"/>
      <c r="E979" s="44"/>
      <c r="F979" s="44"/>
      <c r="G979" s="44"/>
    </row>
    <row r="980" spans="1:7" x14ac:dyDescent="0.2">
      <c r="A980" s="43"/>
      <c r="B980" s="43"/>
      <c r="C980" s="43"/>
      <c r="D980" s="43"/>
      <c r="E980" s="43"/>
      <c r="F980" s="43"/>
      <c r="G980" s="43"/>
    </row>
    <row r="981" spans="1:7" x14ac:dyDescent="0.2">
      <c r="A981" s="44"/>
      <c r="B981" s="44"/>
      <c r="C981" s="44"/>
      <c r="D981" s="44"/>
      <c r="E981" s="44"/>
      <c r="F981" s="44"/>
      <c r="G981" s="44"/>
    </row>
    <row r="982" spans="1:7" x14ac:dyDescent="0.2">
      <c r="A982" s="43"/>
      <c r="B982" s="43"/>
      <c r="C982" s="43"/>
      <c r="D982" s="43"/>
      <c r="E982" s="43"/>
      <c r="F982" s="43"/>
      <c r="G982" s="43"/>
    </row>
    <row r="983" spans="1:7" x14ac:dyDescent="0.2">
      <c r="A983" s="44"/>
      <c r="B983" s="44"/>
      <c r="C983" s="44"/>
      <c r="D983" s="44"/>
      <c r="E983" s="44"/>
      <c r="F983" s="44"/>
      <c r="G983" s="44"/>
    </row>
    <row r="984" spans="1:7" x14ac:dyDescent="0.2">
      <c r="A984" s="43"/>
      <c r="B984" s="43"/>
      <c r="C984" s="43"/>
      <c r="D984" s="43"/>
      <c r="E984" s="43"/>
      <c r="F984" s="43"/>
      <c r="G984" s="43"/>
    </row>
    <row r="985" spans="1:7" x14ac:dyDescent="0.2">
      <c r="A985" s="44"/>
      <c r="B985" s="44"/>
      <c r="C985" s="44"/>
      <c r="D985" s="44"/>
      <c r="E985" s="44"/>
      <c r="F985" s="44"/>
      <c r="G985" s="44"/>
    </row>
    <row r="986" spans="1:7" x14ac:dyDescent="0.2">
      <c r="A986" s="43"/>
      <c r="B986" s="43"/>
      <c r="C986" s="43"/>
      <c r="D986" s="43"/>
      <c r="E986" s="43"/>
      <c r="F986" s="43"/>
      <c r="G986" s="43"/>
    </row>
    <row r="987" spans="1:7" x14ac:dyDescent="0.2">
      <c r="A987" s="44"/>
      <c r="B987" s="44"/>
      <c r="C987" s="44"/>
      <c r="D987" s="44"/>
      <c r="E987" s="44"/>
      <c r="F987" s="44"/>
      <c r="G987" s="44"/>
    </row>
    <row r="988" spans="1:7" x14ac:dyDescent="0.2">
      <c r="A988" s="43"/>
      <c r="B988" s="43"/>
      <c r="C988" s="43"/>
      <c r="D988" s="43"/>
      <c r="E988" s="43"/>
      <c r="F988" s="43"/>
      <c r="G988" s="43"/>
    </row>
    <row r="989" spans="1:7" x14ac:dyDescent="0.2">
      <c r="A989" s="44"/>
      <c r="B989" s="44"/>
      <c r="C989" s="44"/>
      <c r="D989" s="44"/>
      <c r="E989" s="44"/>
      <c r="F989" s="44"/>
      <c r="G989" s="44"/>
    </row>
    <row r="990" spans="1:7" x14ac:dyDescent="0.2">
      <c r="A990" s="43"/>
      <c r="B990" s="43"/>
      <c r="C990" s="43"/>
      <c r="D990" s="43"/>
      <c r="E990" s="43"/>
      <c r="F990" s="43"/>
      <c r="G990" s="43"/>
    </row>
    <row r="991" spans="1:7" x14ac:dyDescent="0.2">
      <c r="A991" s="44"/>
      <c r="B991" s="44"/>
      <c r="C991" s="44"/>
      <c r="D991" s="44"/>
      <c r="E991" s="44"/>
      <c r="F991" s="44"/>
      <c r="G991" s="44"/>
    </row>
    <row r="992" spans="1:7" x14ac:dyDescent="0.2">
      <c r="A992" s="43"/>
      <c r="B992" s="43"/>
      <c r="C992" s="43"/>
      <c r="D992" s="43"/>
      <c r="E992" s="43"/>
      <c r="F992" s="43"/>
      <c r="G992" s="43"/>
    </row>
    <row r="993" spans="1:7" x14ac:dyDescent="0.2">
      <c r="A993" s="44"/>
      <c r="B993" s="44"/>
      <c r="C993" s="44"/>
      <c r="D993" s="44"/>
      <c r="E993" s="44"/>
      <c r="F993" s="44"/>
      <c r="G993" s="44"/>
    </row>
    <row r="994" spans="1:7" x14ac:dyDescent="0.2">
      <c r="A994" s="43"/>
      <c r="B994" s="43"/>
      <c r="C994" s="43"/>
      <c r="D994" s="43"/>
      <c r="E994" s="43"/>
      <c r="F994" s="43"/>
      <c r="G994" s="43"/>
    </row>
    <row r="995" spans="1:7" x14ac:dyDescent="0.2">
      <c r="A995" s="44"/>
      <c r="B995" s="44"/>
      <c r="C995" s="44"/>
      <c r="D995" s="44"/>
      <c r="E995" s="44"/>
      <c r="F995" s="44"/>
      <c r="G995" s="44"/>
    </row>
    <row r="996" spans="1:7" x14ac:dyDescent="0.2">
      <c r="A996" s="43"/>
      <c r="B996" s="43"/>
      <c r="C996" s="43"/>
      <c r="D996" s="43"/>
      <c r="E996" s="43"/>
      <c r="F996" s="43"/>
      <c r="G996" s="43"/>
    </row>
    <row r="997" spans="1:7" x14ac:dyDescent="0.2">
      <c r="A997" s="44"/>
      <c r="B997" s="44"/>
      <c r="C997" s="44"/>
      <c r="D997" s="44"/>
      <c r="E997" s="44"/>
      <c r="F997" s="44"/>
      <c r="G997" s="44"/>
    </row>
    <row r="998" spans="1:7" x14ac:dyDescent="0.2">
      <c r="A998" s="43"/>
      <c r="B998" s="43"/>
      <c r="C998" s="43"/>
      <c r="D998" s="43"/>
      <c r="E998" s="43"/>
      <c r="F998" s="43"/>
      <c r="G998" s="43"/>
    </row>
    <row r="999" spans="1:7" x14ac:dyDescent="0.2">
      <c r="A999" s="44"/>
      <c r="B999" s="44"/>
      <c r="C999" s="44"/>
      <c r="D999" s="44"/>
      <c r="E999" s="44"/>
      <c r="F999" s="44"/>
      <c r="G999" s="44"/>
    </row>
    <row r="1000" spans="1:7" x14ac:dyDescent="0.2">
      <c r="A1000" s="43"/>
      <c r="B1000" s="43"/>
      <c r="C1000" s="43"/>
      <c r="D1000" s="43"/>
      <c r="E1000" s="43"/>
      <c r="F1000" s="43"/>
      <c r="G1000" s="43"/>
    </row>
    <row r="1001" spans="1:7" x14ac:dyDescent="0.2">
      <c r="A1001" s="44"/>
      <c r="B1001" s="44"/>
      <c r="C1001" s="44"/>
      <c r="D1001" s="44"/>
      <c r="E1001" s="44"/>
      <c r="F1001" s="44"/>
      <c r="G1001" s="44"/>
    </row>
    <row r="1002" spans="1:7" x14ac:dyDescent="0.2">
      <c r="A1002" s="43"/>
      <c r="B1002" s="43"/>
      <c r="C1002" s="43"/>
      <c r="D1002" s="43"/>
      <c r="E1002" s="43"/>
      <c r="F1002" s="43"/>
      <c r="G1002" s="43"/>
    </row>
    <row r="1003" spans="1:7" x14ac:dyDescent="0.2">
      <c r="A1003" s="44"/>
      <c r="B1003" s="44"/>
      <c r="C1003" s="44"/>
      <c r="D1003" s="44"/>
      <c r="E1003" s="44"/>
      <c r="F1003" s="44"/>
      <c r="G1003" s="44"/>
    </row>
    <row r="1004" spans="1:7" x14ac:dyDescent="0.2">
      <c r="A1004" s="43"/>
      <c r="B1004" s="43"/>
      <c r="C1004" s="43"/>
      <c r="D1004" s="43"/>
      <c r="E1004" s="43"/>
      <c r="F1004" s="43"/>
      <c r="G1004" s="43"/>
    </row>
    <row r="1005" spans="1:7" x14ac:dyDescent="0.2">
      <c r="A1005" s="44"/>
      <c r="B1005" s="44"/>
      <c r="C1005" s="44"/>
      <c r="D1005" s="44"/>
      <c r="E1005" s="44"/>
      <c r="F1005" s="44"/>
      <c r="G1005" s="44"/>
    </row>
    <row r="1006" spans="1:7" x14ac:dyDescent="0.2">
      <c r="A1006" s="43"/>
      <c r="B1006" s="43"/>
      <c r="C1006" s="43"/>
      <c r="D1006" s="43"/>
      <c r="E1006" s="43"/>
      <c r="F1006" s="43"/>
      <c r="G1006" s="43"/>
    </row>
    <row r="1007" spans="1:7" x14ac:dyDescent="0.2">
      <c r="A1007" s="44"/>
      <c r="B1007" s="44"/>
      <c r="C1007" s="44"/>
      <c r="D1007" s="44"/>
      <c r="E1007" s="44"/>
      <c r="F1007" s="44"/>
      <c r="G1007" s="44"/>
    </row>
    <row r="1008" spans="1:7" x14ac:dyDescent="0.2">
      <c r="A1008" s="43"/>
      <c r="B1008" s="43"/>
      <c r="C1008" s="43"/>
      <c r="D1008" s="43"/>
      <c r="E1008" s="43"/>
      <c r="F1008" s="43"/>
      <c r="G1008" s="43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63</vt:i4>
      </vt:variant>
    </vt:vector>
  </HeadingPairs>
  <TitlesOfParts>
    <vt:vector size="75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Obs-Population</vt:lpstr>
      <vt:lpstr>Obs-OnART</vt:lpstr>
      <vt:lpstr>Obs-Incidence</vt:lpstr>
      <vt:lpstr>Obs-ARTCoverage</vt:lpstr>
      <vt:lpstr>'Obs-ARTCoverage'!additional_columns</vt:lpstr>
      <vt:lpstr>'Obs-Incidence'!additional_columns</vt:lpstr>
      <vt:lpstr>'Obs-OnART'!additional_columns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'Obs-ARTCoverage'!channel_name</vt:lpstr>
      <vt:lpstr>'Obs-Incidence'!channel_name</vt:lpstr>
      <vt:lpstr>'Obs-OnART'!channel_name</vt:lpstr>
      <vt:lpstr>'Obs-Population'!channel_name</vt:lpstr>
      <vt:lpstr>'Obs-Prevalence'!channel_name</vt:lpstr>
      <vt:lpstr>'Observations metadata'!channel_pop_scaling</vt:lpstr>
      <vt:lpstr>Analyzers!channels</vt:lpstr>
      <vt:lpstr>'Obs-ARTCoverage'!csv</vt:lpstr>
      <vt:lpstr>'Obs-Incidence'!csv</vt:lpstr>
      <vt:lpstr>'Obs-OnART'!csv</vt:lpstr>
      <vt:lpstr>'Obs-Population'!csv</vt:lpstr>
      <vt:lpstr>'Obs-Prevalence'!csv</vt:lpstr>
      <vt:lpstr>Analyzers!custom_age_bins</vt:lpstr>
      <vt:lpstr>'Obs-ARTCoverage'!data_channels</vt:lpstr>
      <vt:lpstr>'Obs-Incidence'!data_channels</vt:lpstr>
      <vt:lpstr>'Obs-OnART'!data_channels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'Obs-ARTCoverage'!stratifiers</vt:lpstr>
      <vt:lpstr>'Obs-Incidence'!stratifiers</vt:lpstr>
      <vt:lpstr>'Obs-OnART'!stratifiers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Microsoft Office User</cp:lastModifiedBy>
  <dcterms:created xsi:type="dcterms:W3CDTF">2018-02-08T20:55:40Z</dcterms:created>
  <dcterms:modified xsi:type="dcterms:W3CDTF">2022-03-25T18:33:32Z</dcterms:modified>
</cp:coreProperties>
</file>